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Menghitung BEP\"/>
    </mc:Choice>
  </mc:AlternateContent>
  <xr:revisionPtr revIDLastSave="0" documentId="13_ncr:1_{730F0221-67C6-44DD-A082-6B10E2648CFF}" xr6:coauthVersionLast="47" xr6:coauthVersionMax="47" xr10:uidLastSave="{00000000-0000-0000-0000-000000000000}"/>
  <bookViews>
    <workbookView xWindow="-110" yWindow="-110" windowWidth="19420" windowHeight="10300" firstSheet="1" activeTab="3" xr2:uid="{E1C3F7D6-A9BE-4A66-8B77-D738CE962A1D}"/>
  </bookViews>
  <sheets>
    <sheet name="Sheet1" sheetId="1" r:id="rId1"/>
    <sheet name="Sheet2" sheetId="2" r:id="rId2"/>
    <sheet name="Sheet3" sheetId="3" r:id="rId3"/>
    <sheet name="lampira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4" l="1"/>
  <c r="E46" i="4"/>
  <c r="E47" i="4"/>
  <c r="E48" i="4"/>
  <c r="E44" i="4"/>
  <c r="E36" i="4"/>
  <c r="E37" i="4"/>
  <c r="E38" i="4"/>
  <c r="E39" i="4"/>
  <c r="E35" i="4"/>
  <c r="E27" i="4"/>
  <c r="E28" i="4"/>
  <c r="E29" i="4"/>
  <c r="E30" i="4"/>
  <c r="E26" i="4"/>
  <c r="G19" i="2"/>
  <c r="N12" i="4"/>
  <c r="N13" i="4"/>
  <c r="N14" i="4"/>
  <c r="N15" i="4"/>
  <c r="N16" i="4"/>
  <c r="N17" i="4"/>
  <c r="N18" i="4"/>
  <c r="N19" i="4"/>
  <c r="N20" i="4"/>
  <c r="N11" i="4"/>
  <c r="M12" i="4"/>
  <c r="M13" i="4"/>
  <c r="M14" i="4"/>
  <c r="M15" i="4"/>
  <c r="M16" i="4"/>
  <c r="M17" i="4"/>
  <c r="M18" i="4"/>
  <c r="M19" i="4"/>
  <c r="M20" i="4"/>
  <c r="M11" i="4"/>
  <c r="L12" i="4"/>
  <c r="L13" i="4"/>
  <c r="L14" i="4"/>
  <c r="L15" i="4"/>
  <c r="L16" i="4"/>
  <c r="L17" i="4"/>
  <c r="L18" i="4"/>
  <c r="L19" i="4"/>
  <c r="L20" i="4"/>
  <c r="L11" i="4"/>
  <c r="H22" i="4"/>
  <c r="F22" i="4"/>
  <c r="D22" i="4"/>
  <c r="F63" i="4"/>
  <c r="F64" i="4"/>
  <c r="F65" i="4"/>
  <c r="F66" i="4"/>
  <c r="F67" i="4"/>
  <c r="F62" i="4"/>
  <c r="D58" i="4"/>
  <c r="E58" i="4"/>
  <c r="C58" i="4"/>
  <c r="E22" i="4"/>
  <c r="G22" i="4"/>
  <c r="C22" i="4"/>
  <c r="L21" i="4" l="1"/>
  <c r="N21" i="4"/>
  <c r="M21" i="4"/>
  <c r="G64" i="4"/>
  <c r="F49" i="4"/>
  <c r="G66" i="4"/>
  <c r="G62" i="4"/>
  <c r="F40" i="4"/>
  <c r="F31" i="4"/>
  <c r="I26" i="4" l="1"/>
  <c r="J26" i="4"/>
  <c r="J27" i="4" s="1"/>
  <c r="K26" i="4"/>
  <c r="K27" i="4" s="1"/>
  <c r="I27" i="4"/>
</calcChain>
</file>

<file path=xl/sharedStrings.xml><?xml version="1.0" encoding="utf-8"?>
<sst xmlns="http://schemas.openxmlformats.org/spreadsheetml/2006/main" count="544" uniqueCount="203">
  <si>
    <t>No.</t>
  </si>
  <si>
    <t>Biaya Tetap</t>
  </si>
  <si>
    <t>Nama Usaha</t>
  </si>
  <si>
    <t>Icarius Printhouse</t>
  </si>
  <si>
    <t xml:space="preserve">Pekanbaru Creative </t>
  </si>
  <si>
    <t>Perseus Production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</si>
  <si>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</si>
  <si>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</si>
  <si>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</si>
  <si>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</si>
  <si>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</si>
  <si>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</si>
  <si>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</si>
  <si>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</si>
  <si>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</si>
  <si>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</si>
  <si>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Total Biaya Tetap</t>
  </si>
  <si>
    <t>Bangunan</t>
  </si>
  <si>
    <t>Mesin Sablon</t>
  </si>
  <si>
    <t>Etalase</t>
  </si>
  <si>
    <t>Mesin Press</t>
  </si>
  <si>
    <t>Meja Sablon</t>
  </si>
  <si>
    <t>Screen Sablon</t>
  </si>
  <si>
    <t>Rakel</t>
  </si>
  <si>
    <t>Pengering</t>
  </si>
  <si>
    <t>Komputer</t>
  </si>
  <si>
    <t>Gunting</t>
  </si>
  <si>
    <t>Rp.1.600.000</t>
  </si>
  <si>
    <t>Rp.1.250.000</t>
  </si>
  <si>
    <t>Rp.1.500.000</t>
  </si>
  <si>
    <t>Rp.6.000.000</t>
  </si>
  <si>
    <t>Rp.4.000.000</t>
  </si>
  <si>
    <t>Rp.5.000.000</t>
  </si>
  <si>
    <t>Rp.3.000.000</t>
  </si>
  <si>
    <t>Rp.2.500.000</t>
  </si>
  <si>
    <t>Rp.2.000.000</t>
  </si>
  <si>
    <t>Rp.3.500.000</t>
  </si>
  <si>
    <t>Rp.12.000.000</t>
  </si>
  <si>
    <t>Rp.4.400.000</t>
  </si>
  <si>
    <t>Rp</t>
  </si>
  <si>
    <t>Rp.4.800.000</t>
  </si>
  <si>
    <t>Rp.350.000</t>
  </si>
  <si>
    <t>NO.</t>
  </si>
  <si>
    <t>Nama</t>
  </si>
  <si>
    <t xml:space="preserve">Bangunan </t>
  </si>
  <si>
    <t>Harga Perolehan</t>
  </si>
  <si>
    <t>umur (Tahun)</t>
  </si>
  <si>
    <t>Umur (Bln)</t>
  </si>
  <si>
    <t>Penyusutan perbulan</t>
  </si>
  <si>
    <t>1.666.666.66</t>
  </si>
  <si>
    <t>Mesin sablon</t>
  </si>
  <si>
    <t>104,166.66</t>
  </si>
  <si>
    <t>etalase</t>
  </si>
  <si>
    <t>mesin Press</t>
  </si>
  <si>
    <t>52,083.33</t>
  </si>
  <si>
    <t>Meja sablon</t>
  </si>
  <si>
    <t xml:space="preserve">Screen Sablon </t>
  </si>
  <si>
    <t>pengering</t>
  </si>
  <si>
    <t>7,291.66</t>
  </si>
  <si>
    <t xml:space="preserve">komputer </t>
  </si>
  <si>
    <t>gunting</t>
  </si>
  <si>
    <t>2,083.33</t>
  </si>
  <si>
    <t xml:space="preserve">Total </t>
  </si>
  <si>
    <t xml:space="preserve">No. </t>
  </si>
  <si>
    <t>mesin sablon</t>
  </si>
  <si>
    <t>mesin press</t>
  </si>
  <si>
    <t>meja sablon</t>
  </si>
  <si>
    <t>screen sablon</t>
  </si>
  <si>
    <t>rakel</t>
  </si>
  <si>
    <t>komputer</t>
  </si>
  <si>
    <t xml:space="preserve">gunting </t>
  </si>
  <si>
    <t>Harga perolehan</t>
  </si>
  <si>
    <t>Penyusustan perbulan</t>
  </si>
  <si>
    <t>41,666.66</t>
  </si>
  <si>
    <t>83,333.33</t>
  </si>
  <si>
    <t>27,083.33</t>
  </si>
  <si>
    <t>16,666.66</t>
  </si>
  <si>
    <t>masin sablon</t>
  </si>
  <si>
    <t>umur (tahun)</t>
  </si>
  <si>
    <t>umur (bulan)</t>
  </si>
  <si>
    <t>Penyusutan</t>
  </si>
  <si>
    <t>72,916.66</t>
  </si>
  <si>
    <t>166,666.66</t>
  </si>
  <si>
    <t>145,833.33</t>
  </si>
  <si>
    <t>1.908,333.32</t>
  </si>
  <si>
    <t>1,733,333.33</t>
  </si>
  <si>
    <t>91,666.66</t>
  </si>
  <si>
    <t>2.253,156.21</t>
  </si>
  <si>
    <t>1,500,000</t>
  </si>
  <si>
    <t>2,340,656.23</t>
  </si>
  <si>
    <t xml:space="preserve"> biaya tetap</t>
  </si>
  <si>
    <t>Pekanbaru Creative</t>
  </si>
  <si>
    <t>Biaya Variabel</t>
  </si>
  <si>
    <t>Kaos 30s</t>
  </si>
  <si>
    <t>Kaos 24s</t>
  </si>
  <si>
    <t>Tinta Sablon</t>
  </si>
  <si>
    <t>Kertas</t>
  </si>
  <si>
    <t>Obat afdruk</t>
  </si>
  <si>
    <t>Tenaga Kerja</t>
  </si>
  <si>
    <t xml:space="preserve">Biaya Listrik </t>
  </si>
  <si>
    <t>Biaya Telepon</t>
  </si>
  <si>
    <t xml:space="preserve">Biaya Lainnya </t>
  </si>
  <si>
    <t>Total Biaya Variabel</t>
  </si>
  <si>
    <r>
      <t xml:space="preserve">Biaya </t>
    </r>
    <r>
      <rPr>
        <i/>
        <sz val="11"/>
        <color theme="1"/>
        <rFont val="Times New Roman"/>
        <family val="1"/>
      </rPr>
      <t>service</t>
    </r>
  </si>
  <si>
    <t>No</t>
  </si>
  <si>
    <t>Total Biaya/TVC (Rp/Bulan)</t>
  </si>
  <si>
    <t>Total Biaya Tetap/TFC (Rp/Bulan)</t>
  </si>
  <si>
    <t>Total Biaya/TC (Rp/Bulan)</t>
  </si>
  <si>
    <t>14,938,156.21</t>
  </si>
  <si>
    <t>12,685,000</t>
  </si>
  <si>
    <t>21,367,000</t>
  </si>
  <si>
    <t>21,150,000</t>
  </si>
  <si>
    <t>23,100,333.33</t>
  </si>
  <si>
    <t>23,490,656.32</t>
  </si>
  <si>
    <t>Rata-rata</t>
  </si>
  <si>
    <t>2.109,048.59</t>
  </si>
  <si>
    <t>18,400,666.66</t>
  </si>
  <si>
    <t>20,509,715.28</t>
  </si>
  <si>
    <t>Produksi</t>
  </si>
  <si>
    <t>Harga</t>
  </si>
  <si>
    <t>Total penerimaan Kotor (TR) (Rp/Bln</t>
  </si>
  <si>
    <t>penerimaan kotor (TR) (Rp/Bln)</t>
  </si>
  <si>
    <t>Total Biaya/TC (Rp/Bln)</t>
  </si>
  <si>
    <t>π (%)</t>
  </si>
  <si>
    <t>Jumlah</t>
  </si>
  <si>
    <t>Pekanabru Creative</t>
  </si>
  <si>
    <t>23,100,000</t>
  </si>
  <si>
    <t>61,529,145.86</t>
  </si>
  <si>
    <t>17,300,000</t>
  </si>
  <si>
    <t>26,900,000</t>
  </si>
  <si>
    <t>30,400,000</t>
  </si>
  <si>
    <t>24,866,666.66</t>
  </si>
  <si>
    <t>74,600,000</t>
  </si>
  <si>
    <t>22,400,000</t>
  </si>
  <si>
    <t>34,100,000</t>
  </si>
  <si>
    <t>38,200,000</t>
  </si>
  <si>
    <t>94,700,000</t>
  </si>
  <si>
    <t>31,566,666</t>
  </si>
  <si>
    <t>Keuntungan (π) (Rp/Bln)</t>
  </si>
  <si>
    <t>total Penerimaan (TR) (Rp/Bln)</t>
  </si>
  <si>
    <t>Total Biaya (TC) (Rp/Bln)</t>
  </si>
  <si>
    <t>R/C Ratio</t>
  </si>
  <si>
    <t>Kriteria</t>
  </si>
  <si>
    <t>Icarius Prithouse</t>
  </si>
  <si>
    <t>Efesien</t>
  </si>
  <si>
    <t>Total Biaya Tetap (TFC) (Rp/Bln)</t>
  </si>
  <si>
    <t>Total Biaya Variabel (TVC)</t>
  </si>
  <si>
    <t>Total Keuntungan (π) (Rp/Bln)</t>
  </si>
  <si>
    <t>Break Even Point (BEP)</t>
  </si>
  <si>
    <t>50,882,352</t>
  </si>
  <si>
    <t>81,515,151</t>
  </si>
  <si>
    <t>77,940,717</t>
  </si>
  <si>
    <t>70,112,740</t>
  </si>
  <si>
    <t>210,338,22</t>
  </si>
  <si>
    <t xml:space="preserve">Nama Usaha </t>
  </si>
  <si>
    <t xml:space="preserve">Jenis Kelamin </t>
  </si>
  <si>
    <t>Umur (Tahun)</t>
  </si>
  <si>
    <t xml:space="preserve">Pendidikan </t>
  </si>
  <si>
    <t>Tahun (lama)</t>
  </si>
  <si>
    <t>Status</t>
  </si>
  <si>
    <t xml:space="preserve">Tenaga kerja </t>
  </si>
  <si>
    <t>Perseus production</t>
  </si>
  <si>
    <t>Laki-laki</t>
  </si>
  <si>
    <t>S1</t>
  </si>
  <si>
    <t>SMA</t>
  </si>
  <si>
    <t>SMK</t>
  </si>
  <si>
    <t>Milik Sendiri</t>
  </si>
  <si>
    <t>Icarius Printhouse (Rp)</t>
  </si>
  <si>
    <t>Pekanbaru Creative (Rp)</t>
  </si>
  <si>
    <t>Screen sablon</t>
  </si>
  <si>
    <t xml:space="preserve">Total Investasi </t>
  </si>
  <si>
    <t>83,100,000</t>
  </si>
  <si>
    <t xml:space="preserve">Jenis Bahan Baku </t>
  </si>
  <si>
    <t>Total</t>
  </si>
  <si>
    <t>kaos 30s</t>
  </si>
  <si>
    <t xml:space="preserve">kertas </t>
  </si>
  <si>
    <t xml:space="preserve">obat afdruk </t>
  </si>
  <si>
    <t>Harga Satuan (Rp)</t>
  </si>
  <si>
    <t>Jenis Bahan Baku</t>
  </si>
  <si>
    <t>Tinta sablon</t>
  </si>
  <si>
    <t xml:space="preserve">Obat afdruk </t>
  </si>
  <si>
    <t>Biaya Listrik</t>
  </si>
  <si>
    <t xml:space="preserve">Jenis Biaya </t>
  </si>
  <si>
    <r>
      <t>Biaya perawatan/</t>
    </r>
    <r>
      <rPr>
        <i/>
        <sz val="12"/>
        <color theme="1"/>
        <rFont val="Times New Roman"/>
        <family val="1"/>
      </rPr>
      <t>Service</t>
    </r>
  </si>
  <si>
    <t>Biaya telepon</t>
  </si>
  <si>
    <t>Biaya lainnya</t>
  </si>
  <si>
    <t>Total Biaya</t>
  </si>
  <si>
    <t>helai</t>
  </si>
  <si>
    <t>lembar</t>
  </si>
  <si>
    <t>rim</t>
  </si>
  <si>
    <t>g</t>
  </si>
  <si>
    <t>Satuan</t>
  </si>
  <si>
    <t>Perseus</t>
  </si>
  <si>
    <t xml:space="preserve">P.Creative </t>
  </si>
  <si>
    <t>Perhitungan BEP</t>
  </si>
  <si>
    <t>Produk</t>
  </si>
  <si>
    <t>Pendapatan</t>
  </si>
  <si>
    <t>Total Pendapatan</t>
  </si>
  <si>
    <t>Buah</t>
  </si>
  <si>
    <t>Rupiah</t>
  </si>
  <si>
    <t>Biaya</t>
  </si>
  <si>
    <t>Masa Pakai (Bulan)</t>
  </si>
  <si>
    <t>Biaya Tetap (Per Bulan)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</si>
</sst>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&quot;Rp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3" fontId="1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0" borderId="0" xfId="0" applyNumberFormat="1" applyFont="1"/>
    <xf numFmtId="42" fontId="5" fillId="0" borderId="1" xfId="0" applyNumberFormat="1" applyFont="1" applyBorder="1"/>
    <xf numFmtId="0" fontId="5" fillId="0" borderId="0" xfId="0" applyFont="1" applyAlignment="1">
      <alignment horizontal="left"/>
    </xf>
    <xf numFmtId="2" fontId="5" fillId="0" borderId="1" xfId="0" applyNumberFormat="1" applyFont="1" applyBorder="1"/>
    <xf numFmtId="44" fontId="5" fillId="0" borderId="1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42" fontId="5" fillId="0" borderId="5" xfId="0" applyNumberFormat="1" applyFont="1" applyBorder="1" applyAlignment="1">
      <alignment horizontal="center" vertical="center"/>
    </xf>
    <xf numFmtId="42" fontId="5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42" fontId="5" fillId="0" borderId="0" xfId="0" applyNumberFormat="1" applyFont="1"/>
    <xf numFmtId="0" fontId="6" fillId="0" borderId="0" xfId="0" applyFont="1" applyBorder="1" applyAlignment="1">
      <alignment horizontal="center"/>
    </xf>
    <xf numFmtId="164" fontId="5" fillId="0" borderId="0" xfId="0" applyNumberFormat="1" applyFont="1" applyBorder="1"/>
    <xf numFmtId="0" fontId="6" fillId="0" borderId="0" xfId="0" applyFont="1" applyBorder="1" applyAlignment="1"/>
    <xf numFmtId="1" fontId="5" fillId="0" borderId="1" xfId="0" applyNumberFormat="1" applyFont="1" applyBorder="1"/>
    <xf numFmtId="164" fontId="1" fillId="0" borderId="1" xfId="0" applyNumberFormat="1" applyFont="1" applyBorder="1" applyAlignment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7E08-03AF-48FA-BA42-D974AD4D8EBB}">
  <dimension ref="A1:F52"/>
  <sheetViews>
    <sheetView topLeftCell="A47" workbookViewId="0">
      <selection activeCell="E53" sqref="E53"/>
    </sheetView>
  </sheetViews>
  <sheetFormatPr defaultRowHeight="14.5" x14ac:dyDescent="0.35"/>
  <cols>
    <col min="2" max="2" width="14" customWidth="1"/>
    <col min="3" max="3" width="18.453125" customWidth="1"/>
    <col min="4" max="4" width="20" customWidth="1"/>
    <col min="5" max="5" width="11.7265625" customWidth="1"/>
    <col min="6" max="6" width="12.7265625" customWidth="1"/>
  </cols>
  <sheetData>
    <row r="1" spans="1:6" x14ac:dyDescent="0.35">
      <c r="A1" s="30" t="s">
        <v>0</v>
      </c>
      <c r="B1" s="30" t="s">
        <v>1</v>
      </c>
      <c r="C1" s="29" t="s">
        <v>2</v>
      </c>
      <c r="D1" s="29"/>
      <c r="E1" s="29"/>
      <c r="F1" s="29"/>
    </row>
    <row r="2" spans="1:6" x14ac:dyDescent="0.35">
      <c r="A2" s="30"/>
      <c r="B2" s="30"/>
      <c r="C2" t="s">
        <v>3</v>
      </c>
      <c r="D2" t="s">
        <v>4</v>
      </c>
      <c r="E2" t="s">
        <v>5</v>
      </c>
    </row>
    <row r="3" spans="1:6" x14ac:dyDescent="0.35">
      <c r="A3" t="s">
        <v>6</v>
      </c>
      <c r="B3" t="s">
        <v>17</v>
      </c>
      <c r="C3" s="1" t="s">
        <v>27</v>
      </c>
      <c r="D3" t="s">
        <v>28</v>
      </c>
      <c r="E3" s="29" t="s">
        <v>29</v>
      </c>
      <c r="F3" s="29"/>
    </row>
    <row r="4" spans="1:6" x14ac:dyDescent="0.35">
      <c r="A4" t="s">
        <v>7</v>
      </c>
      <c r="B4" t="s">
        <v>18</v>
      </c>
      <c r="C4" t="s">
        <v>32</v>
      </c>
      <c r="D4" t="s">
        <v>33</v>
      </c>
      <c r="E4" s="29" t="s">
        <v>30</v>
      </c>
      <c r="F4" s="29"/>
    </row>
    <row r="5" spans="1:6" x14ac:dyDescent="0.35">
      <c r="A5" t="s">
        <v>8</v>
      </c>
      <c r="B5" t="s">
        <v>19</v>
      </c>
      <c r="C5" t="s">
        <v>29</v>
      </c>
      <c r="D5" t="s">
        <v>28</v>
      </c>
      <c r="E5" s="29" t="s">
        <v>33</v>
      </c>
      <c r="F5" s="29"/>
    </row>
    <row r="6" spans="1:6" x14ac:dyDescent="0.35">
      <c r="A6" t="s">
        <v>9</v>
      </c>
      <c r="B6" t="s">
        <v>20</v>
      </c>
      <c r="C6" t="s">
        <v>34</v>
      </c>
      <c r="D6" t="s">
        <v>35</v>
      </c>
      <c r="E6" s="29" t="s">
        <v>36</v>
      </c>
      <c r="F6" s="29"/>
    </row>
    <row r="7" spans="1:6" x14ac:dyDescent="0.35">
      <c r="A7" t="s">
        <v>10</v>
      </c>
      <c r="B7" t="s">
        <v>21</v>
      </c>
      <c r="C7" t="s">
        <v>30</v>
      </c>
      <c r="D7" t="s">
        <v>31</v>
      </c>
      <c r="E7" s="29" t="s">
        <v>37</v>
      </c>
      <c r="F7" s="29"/>
    </row>
    <row r="8" spans="1:6" x14ac:dyDescent="0.35">
      <c r="A8" t="s">
        <v>11</v>
      </c>
      <c r="B8" t="s">
        <v>22</v>
      </c>
      <c r="C8" t="s">
        <v>38</v>
      </c>
      <c r="D8" t="s">
        <v>39</v>
      </c>
    </row>
    <row r="9" spans="1:6" x14ac:dyDescent="0.35">
      <c r="A9" t="s">
        <v>12</v>
      </c>
      <c r="B9" t="s">
        <v>23</v>
      </c>
      <c r="C9" t="s">
        <v>40</v>
      </c>
    </row>
    <row r="10" spans="1:6" x14ac:dyDescent="0.35">
      <c r="A10" t="s">
        <v>13</v>
      </c>
      <c r="B10" t="s">
        <v>24</v>
      </c>
      <c r="C10" t="s">
        <v>41</v>
      </c>
    </row>
    <row r="11" spans="1:6" x14ac:dyDescent="0.35">
      <c r="A11" t="s">
        <v>14</v>
      </c>
      <c r="B11" t="s">
        <v>25</v>
      </c>
      <c r="C11" s="1">
        <v>5000000</v>
      </c>
    </row>
    <row r="12" spans="1:6" x14ac:dyDescent="0.35">
      <c r="A12" t="s">
        <v>15</v>
      </c>
      <c r="B12" t="s">
        <v>26</v>
      </c>
      <c r="C12" s="1">
        <v>100000</v>
      </c>
    </row>
    <row r="13" spans="1:6" x14ac:dyDescent="0.35">
      <c r="A13" s="29" t="s">
        <v>16</v>
      </c>
      <c r="B13" s="29"/>
    </row>
    <row r="15" spans="1:6" x14ac:dyDescent="0.35">
      <c r="A15" t="s">
        <v>42</v>
      </c>
      <c r="B15" t="s">
        <v>43</v>
      </c>
      <c r="C15" t="s">
        <v>45</v>
      </c>
      <c r="D15" t="s">
        <v>46</v>
      </c>
      <c r="E15" t="s">
        <v>47</v>
      </c>
      <c r="F15" t="s">
        <v>48</v>
      </c>
    </row>
    <row r="16" spans="1:6" x14ac:dyDescent="0.35">
      <c r="A16" t="s">
        <v>6</v>
      </c>
      <c r="B16" t="s">
        <v>44</v>
      </c>
      <c r="C16" s="1">
        <v>40000000</v>
      </c>
      <c r="D16">
        <v>4</v>
      </c>
      <c r="E16">
        <v>48</v>
      </c>
      <c r="F16" t="s">
        <v>49</v>
      </c>
    </row>
    <row r="17" spans="1:6" x14ac:dyDescent="0.35">
      <c r="A17" t="s">
        <v>7</v>
      </c>
      <c r="B17" t="s">
        <v>50</v>
      </c>
      <c r="C17" s="1">
        <v>5000000</v>
      </c>
      <c r="D17">
        <v>4</v>
      </c>
      <c r="E17">
        <v>48</v>
      </c>
      <c r="F17" t="s">
        <v>51</v>
      </c>
    </row>
    <row r="18" spans="1:6" x14ac:dyDescent="0.35">
      <c r="A18" t="s">
        <v>8</v>
      </c>
      <c r="B18" t="s">
        <v>52</v>
      </c>
      <c r="C18" s="1">
        <v>1500000</v>
      </c>
      <c r="D18">
        <v>4</v>
      </c>
      <c r="E18">
        <v>48</v>
      </c>
      <c r="F18">
        <v>31.25</v>
      </c>
    </row>
    <row r="19" spans="1:6" x14ac:dyDescent="0.35">
      <c r="A19" t="s">
        <v>9</v>
      </c>
      <c r="B19" t="s">
        <v>53</v>
      </c>
      <c r="C19" s="1">
        <v>2500000</v>
      </c>
      <c r="D19">
        <v>4</v>
      </c>
      <c r="E19">
        <v>48</v>
      </c>
      <c r="F19" t="s">
        <v>54</v>
      </c>
    </row>
    <row r="20" spans="1:6" x14ac:dyDescent="0.35">
      <c r="A20" t="s">
        <v>10</v>
      </c>
      <c r="B20" t="s">
        <v>55</v>
      </c>
      <c r="C20" s="1">
        <v>6000000</v>
      </c>
      <c r="D20">
        <v>4</v>
      </c>
      <c r="E20">
        <v>48</v>
      </c>
      <c r="F20" s="1">
        <v>125000</v>
      </c>
    </row>
    <row r="21" spans="1:6" x14ac:dyDescent="0.35">
      <c r="A21" t="s">
        <v>11</v>
      </c>
      <c r="B21" t="s">
        <v>56</v>
      </c>
      <c r="C21" s="1">
        <v>4400000</v>
      </c>
      <c r="D21">
        <v>4</v>
      </c>
      <c r="E21">
        <v>48</v>
      </c>
      <c r="F21" t="s">
        <v>86</v>
      </c>
    </row>
    <row r="22" spans="1:6" x14ac:dyDescent="0.35">
      <c r="A22" t="s">
        <v>12</v>
      </c>
      <c r="B22" t="s">
        <v>23</v>
      </c>
      <c r="C22" s="1">
        <v>4800000</v>
      </c>
      <c r="D22">
        <v>4</v>
      </c>
      <c r="E22">
        <v>48</v>
      </c>
      <c r="F22" s="1">
        <v>100000</v>
      </c>
    </row>
    <row r="23" spans="1:6" x14ac:dyDescent="0.35">
      <c r="A23" t="s">
        <v>13</v>
      </c>
      <c r="B23" t="s">
        <v>57</v>
      </c>
      <c r="C23" s="1">
        <v>350000</v>
      </c>
      <c r="D23">
        <v>4</v>
      </c>
      <c r="E23">
        <v>48</v>
      </c>
      <c r="F23" t="s">
        <v>58</v>
      </c>
    </row>
    <row r="24" spans="1:6" x14ac:dyDescent="0.35">
      <c r="A24" t="s">
        <v>14</v>
      </c>
      <c r="B24" t="s">
        <v>59</v>
      </c>
      <c r="C24" s="1">
        <v>5000000</v>
      </c>
      <c r="D24">
        <v>4</v>
      </c>
      <c r="E24">
        <v>48</v>
      </c>
      <c r="F24" t="s">
        <v>51</v>
      </c>
    </row>
    <row r="25" spans="1:6" x14ac:dyDescent="0.35">
      <c r="A25" t="s">
        <v>15</v>
      </c>
      <c r="B25" t="s">
        <v>60</v>
      </c>
      <c r="C25" s="1">
        <v>100000</v>
      </c>
      <c r="D25">
        <v>4</v>
      </c>
      <c r="E25">
        <v>48</v>
      </c>
      <c r="F25" t="s">
        <v>61</v>
      </c>
    </row>
    <row r="26" spans="1:6" x14ac:dyDescent="0.35">
      <c r="B26" t="s">
        <v>62</v>
      </c>
      <c r="C26" s="1">
        <v>69650000</v>
      </c>
      <c r="F26" t="s">
        <v>87</v>
      </c>
    </row>
    <row r="28" spans="1:6" x14ac:dyDescent="0.35">
      <c r="A28" t="s">
        <v>63</v>
      </c>
      <c r="B28" t="s">
        <v>43</v>
      </c>
      <c r="C28" t="s">
        <v>71</v>
      </c>
      <c r="D28" t="s">
        <v>46</v>
      </c>
      <c r="E28" t="s">
        <v>47</v>
      </c>
      <c r="F28" t="s">
        <v>72</v>
      </c>
    </row>
    <row r="29" spans="1:6" x14ac:dyDescent="0.35">
      <c r="A29" t="s">
        <v>6</v>
      </c>
      <c r="B29" t="s">
        <v>17</v>
      </c>
      <c r="C29" s="1">
        <v>60000000</v>
      </c>
      <c r="D29">
        <v>4</v>
      </c>
      <c r="E29">
        <v>48</v>
      </c>
      <c r="F29" s="1">
        <v>1250000</v>
      </c>
    </row>
    <row r="30" spans="1:6" x14ac:dyDescent="0.35">
      <c r="A30" t="s">
        <v>7</v>
      </c>
      <c r="B30" t="s">
        <v>64</v>
      </c>
      <c r="C30" s="1">
        <v>3000000</v>
      </c>
      <c r="D30">
        <v>4</v>
      </c>
      <c r="E30">
        <v>48</v>
      </c>
      <c r="F30">
        <v>62.5</v>
      </c>
    </row>
    <row r="31" spans="1:6" x14ac:dyDescent="0.35">
      <c r="A31" t="s">
        <v>8</v>
      </c>
      <c r="B31" t="s">
        <v>52</v>
      </c>
      <c r="C31" s="1">
        <v>2000000</v>
      </c>
      <c r="D31">
        <v>4</v>
      </c>
      <c r="E31">
        <v>48</v>
      </c>
      <c r="F31" t="s">
        <v>73</v>
      </c>
    </row>
    <row r="32" spans="1:6" x14ac:dyDescent="0.35">
      <c r="A32" t="s">
        <v>9</v>
      </c>
      <c r="B32" t="s">
        <v>65</v>
      </c>
      <c r="C32" s="1">
        <v>2000000</v>
      </c>
      <c r="D32">
        <v>4</v>
      </c>
      <c r="E32">
        <v>48</v>
      </c>
      <c r="F32" t="s">
        <v>73</v>
      </c>
    </row>
    <row r="33" spans="1:6" x14ac:dyDescent="0.35">
      <c r="A33" t="s">
        <v>10</v>
      </c>
      <c r="B33" t="s">
        <v>66</v>
      </c>
      <c r="C33" s="1">
        <v>4000000</v>
      </c>
      <c r="D33">
        <v>4</v>
      </c>
      <c r="E33">
        <v>48</v>
      </c>
      <c r="F33" t="s">
        <v>74</v>
      </c>
    </row>
    <row r="34" spans="1:6" x14ac:dyDescent="0.35">
      <c r="A34" t="s">
        <v>11</v>
      </c>
      <c r="B34" t="s">
        <v>67</v>
      </c>
      <c r="C34" s="1">
        <v>1300000</v>
      </c>
      <c r="D34">
        <v>4</v>
      </c>
      <c r="E34">
        <v>48</v>
      </c>
      <c r="F34" t="s">
        <v>75</v>
      </c>
    </row>
    <row r="35" spans="1:6" x14ac:dyDescent="0.35">
      <c r="A35" t="s">
        <v>12</v>
      </c>
      <c r="B35" t="s">
        <v>68</v>
      </c>
      <c r="C35" s="1">
        <v>800000</v>
      </c>
      <c r="D35">
        <v>4</v>
      </c>
      <c r="E35">
        <v>48</v>
      </c>
      <c r="F35" t="s">
        <v>76</v>
      </c>
    </row>
    <row r="36" spans="1:6" x14ac:dyDescent="0.35">
      <c r="A36" t="s">
        <v>13</v>
      </c>
      <c r="B36" t="s">
        <v>57</v>
      </c>
      <c r="C36" s="1">
        <v>4000000</v>
      </c>
      <c r="D36">
        <v>4</v>
      </c>
      <c r="E36">
        <v>48</v>
      </c>
      <c r="F36" t="s">
        <v>74</v>
      </c>
    </row>
    <row r="37" spans="1:6" x14ac:dyDescent="0.35">
      <c r="A37" t="s">
        <v>14</v>
      </c>
      <c r="B37" t="s">
        <v>69</v>
      </c>
      <c r="C37" s="1">
        <v>6000000</v>
      </c>
      <c r="D37">
        <v>4</v>
      </c>
      <c r="E37">
        <v>48</v>
      </c>
      <c r="F37">
        <v>125</v>
      </c>
    </row>
    <row r="38" spans="1:6" x14ac:dyDescent="0.35">
      <c r="A38" t="s">
        <v>15</v>
      </c>
      <c r="B38" t="s">
        <v>70</v>
      </c>
      <c r="C38" s="1">
        <v>100000</v>
      </c>
      <c r="D38">
        <v>4</v>
      </c>
      <c r="E38">
        <v>48</v>
      </c>
      <c r="F38" t="s">
        <v>61</v>
      </c>
    </row>
    <row r="39" spans="1:6" x14ac:dyDescent="0.35">
      <c r="C39" s="1" t="s">
        <v>171</v>
      </c>
      <c r="F39" t="s">
        <v>85</v>
      </c>
    </row>
    <row r="41" spans="1:6" x14ac:dyDescent="0.35">
      <c r="A41" t="s">
        <v>0</v>
      </c>
      <c r="B41" t="s">
        <v>43</v>
      </c>
      <c r="C41" t="s">
        <v>45</v>
      </c>
      <c r="D41" t="s">
        <v>78</v>
      </c>
      <c r="E41" t="s">
        <v>79</v>
      </c>
      <c r="F41" t="s">
        <v>80</v>
      </c>
    </row>
    <row r="42" spans="1:6" x14ac:dyDescent="0.35">
      <c r="A42" t="s">
        <v>6</v>
      </c>
      <c r="B42" t="s">
        <v>17</v>
      </c>
      <c r="C42" s="1">
        <v>72000000</v>
      </c>
      <c r="D42">
        <v>4</v>
      </c>
      <c r="E42">
        <v>48</v>
      </c>
      <c r="F42" s="1">
        <v>1500000</v>
      </c>
    </row>
    <row r="43" spans="1:6" x14ac:dyDescent="0.35">
      <c r="A43" t="s">
        <v>7</v>
      </c>
      <c r="B43" t="s">
        <v>77</v>
      </c>
      <c r="C43" s="1">
        <v>6000000</v>
      </c>
      <c r="D43">
        <v>4</v>
      </c>
      <c r="E43">
        <v>48</v>
      </c>
      <c r="F43">
        <v>125000</v>
      </c>
    </row>
    <row r="44" spans="1:6" x14ac:dyDescent="0.35">
      <c r="A44" t="s">
        <v>8</v>
      </c>
      <c r="B44" t="s">
        <v>52</v>
      </c>
      <c r="C44" s="1">
        <v>3000000</v>
      </c>
      <c r="D44">
        <v>4</v>
      </c>
      <c r="E44">
        <v>48</v>
      </c>
      <c r="F44">
        <v>62500</v>
      </c>
    </row>
    <row r="45" spans="1:6" x14ac:dyDescent="0.35">
      <c r="A45" t="s">
        <v>9</v>
      </c>
      <c r="B45" t="s">
        <v>65</v>
      </c>
      <c r="C45" s="1">
        <v>3500000</v>
      </c>
      <c r="D45">
        <v>4</v>
      </c>
      <c r="E45">
        <v>48</v>
      </c>
      <c r="F45" t="s">
        <v>81</v>
      </c>
    </row>
    <row r="46" spans="1:6" x14ac:dyDescent="0.35">
      <c r="A46" t="s">
        <v>10</v>
      </c>
      <c r="B46" t="s">
        <v>66</v>
      </c>
      <c r="C46" s="1">
        <v>12000000</v>
      </c>
      <c r="D46">
        <v>4</v>
      </c>
      <c r="E46">
        <v>48</v>
      </c>
      <c r="F46">
        <v>250000</v>
      </c>
    </row>
    <row r="47" spans="1:6" x14ac:dyDescent="0.35">
      <c r="A47" t="s">
        <v>11</v>
      </c>
      <c r="B47" t="s">
        <v>67</v>
      </c>
      <c r="C47" s="1">
        <v>1500000</v>
      </c>
      <c r="D47">
        <v>4</v>
      </c>
      <c r="E47">
        <v>48</v>
      </c>
      <c r="F47">
        <v>31.25</v>
      </c>
    </row>
    <row r="48" spans="1:6" x14ac:dyDescent="0.35">
      <c r="A48" t="s">
        <v>12</v>
      </c>
      <c r="B48" t="s">
        <v>68</v>
      </c>
      <c r="C48" s="1">
        <v>750000</v>
      </c>
      <c r="D48">
        <v>4</v>
      </c>
      <c r="E48">
        <v>48</v>
      </c>
      <c r="F48">
        <v>15.625</v>
      </c>
    </row>
    <row r="49" spans="1:6" x14ac:dyDescent="0.35">
      <c r="A49" t="s">
        <v>13</v>
      </c>
      <c r="B49" t="s">
        <v>57</v>
      </c>
      <c r="C49" s="1">
        <v>8000000</v>
      </c>
      <c r="D49">
        <v>4</v>
      </c>
      <c r="E49">
        <v>48</v>
      </c>
      <c r="F49" t="s">
        <v>82</v>
      </c>
    </row>
    <row r="50" spans="1:6" x14ac:dyDescent="0.35">
      <c r="A50" t="s">
        <v>14</v>
      </c>
      <c r="B50" t="s">
        <v>69</v>
      </c>
      <c r="C50" s="1">
        <v>7000000</v>
      </c>
      <c r="D50">
        <v>4</v>
      </c>
      <c r="E50">
        <v>48</v>
      </c>
      <c r="F50" t="s">
        <v>83</v>
      </c>
    </row>
    <row r="51" spans="1:6" x14ac:dyDescent="0.35">
      <c r="A51" t="s">
        <v>15</v>
      </c>
      <c r="B51" t="s">
        <v>60</v>
      </c>
      <c r="C51" s="1">
        <v>100000</v>
      </c>
      <c r="D51">
        <v>4</v>
      </c>
      <c r="E51">
        <v>48</v>
      </c>
      <c r="F51" t="s">
        <v>61</v>
      </c>
    </row>
    <row r="52" spans="1:6" x14ac:dyDescent="0.35">
      <c r="C52" s="1">
        <v>113850000</v>
      </c>
      <c r="F52" t="s">
        <v>84</v>
      </c>
    </row>
  </sheetData>
  <mergeCells count="9">
    <mergeCell ref="C1:F1"/>
    <mergeCell ref="B1:B2"/>
    <mergeCell ref="A1:A2"/>
    <mergeCell ref="A13:B13"/>
    <mergeCell ref="E3:F3"/>
    <mergeCell ref="E4:F4"/>
    <mergeCell ref="E5:F5"/>
    <mergeCell ref="E6:F6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E330-C849-42E0-B710-B650A77A42B6}">
  <dimension ref="A1:G40"/>
  <sheetViews>
    <sheetView topLeftCell="A15" workbookViewId="0">
      <selection activeCell="A16" sqref="A16:F28"/>
    </sheetView>
  </sheetViews>
  <sheetFormatPr defaultRowHeight="14.5" x14ac:dyDescent="0.35"/>
  <cols>
    <col min="1" max="1" width="4.54296875" customWidth="1"/>
    <col min="2" max="2" width="18.1796875" customWidth="1"/>
    <col min="3" max="3" width="16.54296875" customWidth="1"/>
    <col min="4" max="4" width="19.81640625" customWidth="1"/>
    <col min="5" max="5" width="21.7265625" customWidth="1"/>
    <col min="6" max="6" width="13.54296875" customWidth="1"/>
  </cols>
  <sheetData>
    <row r="1" spans="1:7" x14ac:dyDescent="0.35">
      <c r="A1" s="36" t="s">
        <v>0</v>
      </c>
      <c r="B1" s="36" t="s">
        <v>1</v>
      </c>
      <c r="C1" s="33" t="s">
        <v>2</v>
      </c>
      <c r="D1" s="33"/>
      <c r="E1" s="33"/>
      <c r="F1" s="33"/>
      <c r="G1" t="s">
        <v>90</v>
      </c>
    </row>
    <row r="2" spans="1:7" x14ac:dyDescent="0.35">
      <c r="A2" s="36"/>
      <c r="B2" s="36"/>
      <c r="C2" s="2" t="s">
        <v>3</v>
      </c>
      <c r="D2" s="2" t="s">
        <v>4</v>
      </c>
      <c r="E2" s="33" t="s">
        <v>5</v>
      </c>
      <c r="F2" s="33"/>
    </row>
    <row r="3" spans="1:7" x14ac:dyDescent="0.35">
      <c r="A3" s="3" t="s">
        <v>6</v>
      </c>
      <c r="B3" s="3" t="s">
        <v>44</v>
      </c>
      <c r="C3" s="4">
        <v>1666666.66</v>
      </c>
      <c r="D3" s="5">
        <v>1250000</v>
      </c>
      <c r="E3" s="31" t="s">
        <v>88</v>
      </c>
      <c r="F3" s="31"/>
    </row>
    <row r="4" spans="1:7" x14ac:dyDescent="0.35">
      <c r="A4" s="3" t="s">
        <v>7</v>
      </c>
      <c r="B4" s="3" t="s">
        <v>18</v>
      </c>
      <c r="C4" s="6" t="s">
        <v>51</v>
      </c>
      <c r="D4" s="6">
        <v>62.5</v>
      </c>
      <c r="E4" s="31">
        <v>125</v>
      </c>
      <c r="F4" s="31"/>
    </row>
    <row r="5" spans="1:7" x14ac:dyDescent="0.35">
      <c r="A5" s="3" t="s">
        <v>8</v>
      </c>
      <c r="B5" s="3" t="s">
        <v>19</v>
      </c>
      <c r="C5" s="6">
        <v>31.25</v>
      </c>
      <c r="D5" s="6" t="s">
        <v>73</v>
      </c>
      <c r="E5" s="31">
        <v>62500</v>
      </c>
      <c r="F5" s="31"/>
    </row>
    <row r="6" spans="1:7" x14ac:dyDescent="0.35">
      <c r="A6" s="3" t="s">
        <v>9</v>
      </c>
      <c r="B6" s="3" t="s">
        <v>20</v>
      </c>
      <c r="C6" s="6" t="s">
        <v>54</v>
      </c>
      <c r="D6" s="6" t="s">
        <v>73</v>
      </c>
      <c r="E6" s="31" t="s">
        <v>81</v>
      </c>
      <c r="F6" s="31"/>
    </row>
    <row r="7" spans="1:7" x14ac:dyDescent="0.35">
      <c r="A7" s="3" t="s">
        <v>10</v>
      </c>
      <c r="B7" s="3" t="s">
        <v>55</v>
      </c>
      <c r="C7" s="6">
        <v>125000</v>
      </c>
      <c r="D7" s="6" t="s">
        <v>74</v>
      </c>
      <c r="E7" s="31">
        <v>250</v>
      </c>
      <c r="F7" s="31"/>
    </row>
    <row r="8" spans="1:7" x14ac:dyDescent="0.35">
      <c r="A8" s="3" t="s">
        <v>11</v>
      </c>
      <c r="B8" s="3" t="s">
        <v>22</v>
      </c>
      <c r="C8" s="6" t="s">
        <v>86</v>
      </c>
      <c r="D8" s="6" t="s">
        <v>75</v>
      </c>
      <c r="E8" s="31">
        <v>31.25</v>
      </c>
      <c r="F8" s="31"/>
    </row>
    <row r="9" spans="1:7" x14ac:dyDescent="0.35">
      <c r="A9" s="3" t="s">
        <v>12</v>
      </c>
      <c r="B9" s="3" t="s">
        <v>23</v>
      </c>
      <c r="C9" s="5">
        <v>100000</v>
      </c>
      <c r="D9" s="6" t="s">
        <v>76</v>
      </c>
      <c r="E9" s="31">
        <v>15.625</v>
      </c>
      <c r="F9" s="31"/>
    </row>
    <row r="10" spans="1:7" x14ac:dyDescent="0.35">
      <c r="A10" s="3" t="s">
        <v>13</v>
      </c>
      <c r="B10" s="3" t="s">
        <v>24</v>
      </c>
      <c r="C10" s="6" t="s">
        <v>58</v>
      </c>
      <c r="D10" s="6" t="s">
        <v>74</v>
      </c>
      <c r="E10" s="31" t="s">
        <v>82</v>
      </c>
      <c r="F10" s="31"/>
    </row>
    <row r="11" spans="1:7" x14ac:dyDescent="0.35">
      <c r="A11" s="3" t="s">
        <v>14</v>
      </c>
      <c r="B11" s="3" t="s">
        <v>25</v>
      </c>
      <c r="C11" s="6" t="s">
        <v>51</v>
      </c>
      <c r="D11" s="6">
        <v>125000</v>
      </c>
      <c r="E11" s="31" t="s">
        <v>83</v>
      </c>
      <c r="F11" s="31"/>
    </row>
    <row r="12" spans="1:7" x14ac:dyDescent="0.35">
      <c r="A12" s="3" t="s">
        <v>15</v>
      </c>
      <c r="B12" s="3" t="s">
        <v>26</v>
      </c>
      <c r="C12" s="6" t="s">
        <v>61</v>
      </c>
      <c r="D12" s="6" t="s">
        <v>61</v>
      </c>
      <c r="E12" s="31" t="s">
        <v>61</v>
      </c>
      <c r="F12" s="31"/>
    </row>
    <row r="13" spans="1:7" x14ac:dyDescent="0.35">
      <c r="A13" s="33" t="s">
        <v>16</v>
      </c>
      <c r="B13" s="33"/>
      <c r="C13" s="7" t="s">
        <v>87</v>
      </c>
      <c r="D13" s="7" t="s">
        <v>85</v>
      </c>
      <c r="E13" s="32" t="s">
        <v>89</v>
      </c>
      <c r="F13" s="32"/>
    </row>
    <row r="16" spans="1:7" x14ac:dyDescent="0.35">
      <c r="A16" s="36" t="s">
        <v>0</v>
      </c>
      <c r="B16" s="36" t="s">
        <v>92</v>
      </c>
      <c r="C16" s="33" t="s">
        <v>2</v>
      </c>
      <c r="D16" s="33"/>
      <c r="E16" s="33"/>
      <c r="F16" s="33"/>
    </row>
    <row r="17" spans="1:7" x14ac:dyDescent="0.35">
      <c r="A17" s="36"/>
      <c r="B17" s="36"/>
      <c r="C17" s="11" t="s">
        <v>3</v>
      </c>
      <c r="D17" s="11" t="s">
        <v>91</v>
      </c>
      <c r="E17" s="33" t="s">
        <v>5</v>
      </c>
      <c r="F17" s="33"/>
    </row>
    <row r="18" spans="1:7" x14ac:dyDescent="0.35">
      <c r="A18" s="8" t="s">
        <v>6</v>
      </c>
      <c r="B18" s="8" t="s">
        <v>93</v>
      </c>
      <c r="C18" s="9">
        <v>5700000</v>
      </c>
      <c r="D18" s="9">
        <v>9000000</v>
      </c>
      <c r="E18" s="34">
        <v>11400000</v>
      </c>
      <c r="F18" s="31"/>
    </row>
    <row r="19" spans="1:7" x14ac:dyDescent="0.35">
      <c r="A19" s="8" t="s">
        <v>7</v>
      </c>
      <c r="B19" s="8" t="s">
        <v>94</v>
      </c>
      <c r="C19" s="9">
        <v>3840000</v>
      </c>
      <c r="D19" s="9">
        <v>1900000</v>
      </c>
      <c r="E19" s="34">
        <v>4800000</v>
      </c>
      <c r="F19" s="31"/>
      <c r="G19">
        <f>C19/150</f>
        <v>25600</v>
      </c>
    </row>
    <row r="20" spans="1:7" x14ac:dyDescent="0.35">
      <c r="A20" s="8" t="s">
        <v>8</v>
      </c>
      <c r="B20" s="8" t="s">
        <v>95</v>
      </c>
      <c r="C20" s="9">
        <v>480000</v>
      </c>
      <c r="D20" s="9">
        <v>360000</v>
      </c>
      <c r="E20" s="34">
        <v>720000</v>
      </c>
      <c r="F20" s="31"/>
    </row>
    <row r="21" spans="1:7" x14ac:dyDescent="0.35">
      <c r="A21" s="8" t="s">
        <v>9</v>
      </c>
      <c r="B21" s="8" t="s">
        <v>96</v>
      </c>
      <c r="C21" s="9">
        <v>20000</v>
      </c>
      <c r="D21" s="9">
        <v>52000</v>
      </c>
      <c r="E21" s="34">
        <v>20000</v>
      </c>
      <c r="F21" s="31"/>
    </row>
    <row r="22" spans="1:7" x14ac:dyDescent="0.35">
      <c r="A22" s="8" t="s">
        <v>10</v>
      </c>
      <c r="B22" s="8" t="s">
        <v>97</v>
      </c>
      <c r="C22" s="9">
        <v>95000</v>
      </c>
      <c r="D22" s="9">
        <v>75000</v>
      </c>
      <c r="E22" s="34">
        <v>230000</v>
      </c>
      <c r="F22" s="31"/>
    </row>
    <row r="23" spans="1:7" x14ac:dyDescent="0.35">
      <c r="A23" s="8" t="s">
        <v>11</v>
      </c>
      <c r="B23" s="8" t="s">
        <v>98</v>
      </c>
      <c r="C23" s="9">
        <v>1500000</v>
      </c>
      <c r="D23" s="9">
        <v>8000000</v>
      </c>
      <c r="E23" s="34">
        <v>1500000</v>
      </c>
      <c r="F23" s="31"/>
    </row>
    <row r="24" spans="1:7" x14ac:dyDescent="0.35">
      <c r="A24" s="8" t="s">
        <v>12</v>
      </c>
      <c r="B24" s="8" t="s">
        <v>103</v>
      </c>
      <c r="C24" s="9">
        <v>250000</v>
      </c>
      <c r="D24" s="9">
        <v>500000</v>
      </c>
      <c r="E24" s="34">
        <v>1000000</v>
      </c>
      <c r="F24" s="31"/>
    </row>
    <row r="25" spans="1:7" x14ac:dyDescent="0.35">
      <c r="A25" s="8" t="s">
        <v>13</v>
      </c>
      <c r="B25" s="8" t="s">
        <v>99</v>
      </c>
      <c r="C25" s="9">
        <v>200000</v>
      </c>
      <c r="D25" s="9">
        <v>600000</v>
      </c>
      <c r="E25" s="34">
        <v>600000</v>
      </c>
      <c r="F25" s="31"/>
    </row>
    <row r="26" spans="1:7" x14ac:dyDescent="0.35">
      <c r="A26" s="8" t="s">
        <v>14</v>
      </c>
      <c r="B26" s="8" t="s">
        <v>100</v>
      </c>
      <c r="C26" s="9">
        <v>100000</v>
      </c>
      <c r="D26" s="9">
        <v>380000</v>
      </c>
      <c r="E26" s="34">
        <v>380000</v>
      </c>
      <c r="F26" s="31"/>
    </row>
    <row r="27" spans="1:7" x14ac:dyDescent="0.35">
      <c r="A27" s="8" t="s">
        <v>15</v>
      </c>
      <c r="B27" s="8" t="s">
        <v>101</v>
      </c>
      <c r="C27" s="9">
        <v>500000</v>
      </c>
      <c r="D27" s="9">
        <v>500000</v>
      </c>
      <c r="E27" s="34">
        <v>500000</v>
      </c>
      <c r="F27" s="31"/>
    </row>
    <row r="28" spans="1:7" x14ac:dyDescent="0.35">
      <c r="A28" s="33" t="s">
        <v>102</v>
      </c>
      <c r="B28" s="33"/>
      <c r="C28" s="10">
        <v>12685000</v>
      </c>
      <c r="D28" s="10">
        <v>21367000</v>
      </c>
      <c r="E28" s="35">
        <v>21150000</v>
      </c>
      <c r="F28" s="32"/>
    </row>
    <row r="30" spans="1:7" x14ac:dyDescent="0.35">
      <c r="A30" s="37" t="s">
        <v>104</v>
      </c>
      <c r="B30" s="37" t="s">
        <v>2</v>
      </c>
      <c r="C30" s="37" t="s">
        <v>105</v>
      </c>
      <c r="D30" s="37" t="s">
        <v>106</v>
      </c>
      <c r="E30" s="37" t="s">
        <v>107</v>
      </c>
      <c r="F30" s="37"/>
    </row>
    <row r="31" spans="1:7" x14ac:dyDescent="0.35">
      <c r="A31" s="37"/>
      <c r="B31" s="37"/>
      <c r="C31" s="37"/>
      <c r="D31" s="37"/>
      <c r="E31" s="37"/>
      <c r="F31" s="37"/>
    </row>
    <row r="32" spans="1:7" x14ac:dyDescent="0.35">
      <c r="A32" s="12" t="s">
        <v>6</v>
      </c>
      <c r="B32" s="12" t="s">
        <v>3</v>
      </c>
      <c r="C32" s="13" t="s">
        <v>87</v>
      </c>
      <c r="D32" s="9" t="s">
        <v>109</v>
      </c>
      <c r="E32" s="39" t="s">
        <v>108</v>
      </c>
      <c r="F32" s="39"/>
    </row>
    <row r="33" spans="1:6" x14ac:dyDescent="0.35">
      <c r="A33" s="12" t="s">
        <v>7</v>
      </c>
      <c r="B33" s="12" t="s">
        <v>91</v>
      </c>
      <c r="C33" s="8" t="s">
        <v>85</v>
      </c>
      <c r="D33" s="9" t="s">
        <v>110</v>
      </c>
      <c r="E33" s="39" t="s">
        <v>112</v>
      </c>
      <c r="F33" s="39"/>
    </row>
    <row r="34" spans="1:6" x14ac:dyDescent="0.35">
      <c r="A34" s="12" t="s">
        <v>8</v>
      </c>
      <c r="B34" s="12" t="s">
        <v>5</v>
      </c>
      <c r="C34" s="8" t="s">
        <v>89</v>
      </c>
      <c r="D34" s="9" t="s">
        <v>111</v>
      </c>
      <c r="E34" s="39" t="s">
        <v>113</v>
      </c>
      <c r="F34" s="39"/>
    </row>
    <row r="35" spans="1:6" x14ac:dyDescent="0.35">
      <c r="A35" s="41" t="s">
        <v>114</v>
      </c>
      <c r="B35" s="42"/>
      <c r="C35" s="11" t="s">
        <v>115</v>
      </c>
      <c r="D35" s="10" t="s">
        <v>116</v>
      </c>
      <c r="E35" s="40" t="s">
        <v>117</v>
      </c>
      <c r="F35" s="40"/>
    </row>
    <row r="37" spans="1:6" x14ac:dyDescent="0.35">
      <c r="A37" s="30" t="s">
        <v>0</v>
      </c>
      <c r="B37" s="30" t="s">
        <v>2</v>
      </c>
      <c r="C37" s="30" t="s">
        <v>118</v>
      </c>
      <c r="D37" s="38" t="s">
        <v>119</v>
      </c>
      <c r="E37" s="30" t="s">
        <v>120</v>
      </c>
      <c r="F37" s="30"/>
    </row>
    <row r="38" spans="1:6" x14ac:dyDescent="0.35">
      <c r="A38" s="30"/>
      <c r="B38" s="30"/>
      <c r="C38" s="30"/>
      <c r="D38" s="38"/>
      <c r="E38" s="30"/>
      <c r="F38" s="30"/>
    </row>
    <row r="39" spans="1:6" x14ac:dyDescent="0.35">
      <c r="A39" s="30" t="s">
        <v>6</v>
      </c>
      <c r="B39" s="29"/>
    </row>
    <row r="40" spans="1:6" x14ac:dyDescent="0.35">
      <c r="A40" s="30"/>
      <c r="B40" s="29"/>
    </row>
  </sheetData>
  <mergeCells count="49">
    <mergeCell ref="A39:A40"/>
    <mergeCell ref="B39:B40"/>
    <mergeCell ref="A35:B35"/>
    <mergeCell ref="A37:A38"/>
    <mergeCell ref="B37:B38"/>
    <mergeCell ref="C37:C38"/>
    <mergeCell ref="D37:D38"/>
    <mergeCell ref="E37:F38"/>
    <mergeCell ref="E32:F32"/>
    <mergeCell ref="E33:F33"/>
    <mergeCell ref="E34:F34"/>
    <mergeCell ref="E35:F35"/>
    <mergeCell ref="E4:F4"/>
    <mergeCell ref="A30:A31"/>
    <mergeCell ref="B30:B31"/>
    <mergeCell ref="C30:C31"/>
    <mergeCell ref="D30:D31"/>
    <mergeCell ref="E30:F31"/>
    <mergeCell ref="E17:F17"/>
    <mergeCell ref="A16:A17"/>
    <mergeCell ref="B16:B17"/>
    <mergeCell ref="E5:F5"/>
    <mergeCell ref="E6:F6"/>
    <mergeCell ref="E7:F7"/>
    <mergeCell ref="E8:F8"/>
    <mergeCell ref="E9:F9"/>
    <mergeCell ref="E10:F10"/>
    <mergeCell ref="E11:F11"/>
    <mergeCell ref="E2:F2"/>
    <mergeCell ref="C1:F1"/>
    <mergeCell ref="B1:B2"/>
    <mergeCell ref="A1:A2"/>
    <mergeCell ref="E3:F3"/>
    <mergeCell ref="E12:F12"/>
    <mergeCell ref="E13:F13"/>
    <mergeCell ref="A13:B13"/>
    <mergeCell ref="C16:F16"/>
    <mergeCell ref="A28:B28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651B-A3D9-4B7C-B68B-39F28F23942B}">
  <dimension ref="A1:P24"/>
  <sheetViews>
    <sheetView workbookViewId="0">
      <selection activeCell="O16" sqref="O16"/>
    </sheetView>
  </sheetViews>
  <sheetFormatPr defaultRowHeight="14.5" x14ac:dyDescent="0.35"/>
  <cols>
    <col min="1" max="1" width="9.1796875" customWidth="1"/>
    <col min="2" max="2" width="17.7265625" customWidth="1"/>
    <col min="3" max="5" width="13.1796875" customWidth="1"/>
    <col min="6" max="6" width="10.1796875" bestFit="1" customWidth="1"/>
    <col min="9" max="9" width="6.7265625" customWidth="1"/>
    <col min="10" max="10" width="17.7265625" customWidth="1"/>
    <col min="11" max="11" width="12" customWidth="1"/>
    <col min="12" max="12" width="14.54296875" customWidth="1"/>
    <col min="13" max="13" width="18.453125" customWidth="1"/>
    <col min="14" max="14" width="10.7265625" customWidth="1"/>
  </cols>
  <sheetData>
    <row r="1" spans="1:16" x14ac:dyDescent="0.35">
      <c r="A1" s="44" t="s">
        <v>0</v>
      </c>
      <c r="B1" s="44" t="s">
        <v>2</v>
      </c>
      <c r="C1" s="45" t="s">
        <v>121</v>
      </c>
      <c r="D1" s="45" t="s">
        <v>122</v>
      </c>
      <c r="E1" s="43" t="s">
        <v>138</v>
      </c>
      <c r="F1" s="43" t="s">
        <v>123</v>
      </c>
      <c r="I1" s="44" t="s">
        <v>0</v>
      </c>
      <c r="J1" s="44" t="s">
        <v>2</v>
      </c>
      <c r="K1" s="45" t="s">
        <v>139</v>
      </c>
      <c r="L1" s="45"/>
      <c r="M1" s="45" t="s">
        <v>140</v>
      </c>
      <c r="N1" s="45"/>
      <c r="O1" s="43" t="s">
        <v>141</v>
      </c>
      <c r="P1" s="44" t="s">
        <v>142</v>
      </c>
    </row>
    <row r="2" spans="1:16" x14ac:dyDescent="0.35">
      <c r="A2" s="44"/>
      <c r="B2" s="44"/>
      <c r="C2" s="45"/>
      <c r="D2" s="45"/>
      <c r="E2" s="43"/>
      <c r="F2" s="43"/>
      <c r="I2" s="44"/>
      <c r="J2" s="44"/>
      <c r="K2" s="45"/>
      <c r="L2" s="45"/>
      <c r="M2" s="45"/>
      <c r="N2" s="45"/>
      <c r="O2" s="43"/>
      <c r="P2" s="44"/>
    </row>
    <row r="3" spans="1:16" x14ac:dyDescent="0.35">
      <c r="A3" s="44"/>
      <c r="B3" s="44"/>
      <c r="C3" s="45"/>
      <c r="D3" s="45"/>
      <c r="E3" s="43"/>
      <c r="F3" s="43"/>
      <c r="I3" s="8" t="s">
        <v>6</v>
      </c>
      <c r="J3" s="8" t="s">
        <v>143</v>
      </c>
      <c r="K3" s="52" t="s">
        <v>128</v>
      </c>
      <c r="L3" s="52"/>
      <c r="M3" s="52" t="s">
        <v>108</v>
      </c>
      <c r="N3" s="52"/>
      <c r="O3" s="8">
        <v>1.1499999999999999</v>
      </c>
      <c r="P3" s="8" t="s">
        <v>144</v>
      </c>
    </row>
    <row r="4" spans="1:16" x14ac:dyDescent="0.35">
      <c r="A4" s="8" t="s">
        <v>6</v>
      </c>
      <c r="B4" s="8" t="s">
        <v>3</v>
      </c>
      <c r="C4" s="14" t="s">
        <v>128</v>
      </c>
      <c r="D4" s="14" t="s">
        <v>108</v>
      </c>
      <c r="E4" s="14" t="s">
        <v>133</v>
      </c>
      <c r="F4" s="15">
        <v>0.2356</v>
      </c>
      <c r="I4" s="8" t="s">
        <v>7</v>
      </c>
      <c r="J4" s="8" t="s">
        <v>91</v>
      </c>
      <c r="K4" s="52" t="s">
        <v>129</v>
      </c>
      <c r="L4" s="52"/>
      <c r="M4" s="52" t="s">
        <v>126</v>
      </c>
      <c r="N4" s="52"/>
      <c r="O4" s="8">
        <v>1.1599999999999999</v>
      </c>
      <c r="P4" s="8" t="s">
        <v>144</v>
      </c>
    </row>
    <row r="5" spans="1:16" x14ac:dyDescent="0.35">
      <c r="A5" s="8" t="s">
        <v>7</v>
      </c>
      <c r="B5" s="8" t="s">
        <v>125</v>
      </c>
      <c r="C5" s="16" t="s">
        <v>129</v>
      </c>
      <c r="D5" s="14" t="s">
        <v>126</v>
      </c>
      <c r="E5" s="14" t="s">
        <v>134</v>
      </c>
      <c r="F5" s="15">
        <v>0.36</v>
      </c>
      <c r="I5" s="8" t="s">
        <v>8</v>
      </c>
      <c r="J5" s="8" t="s">
        <v>5</v>
      </c>
      <c r="K5" s="52" t="s">
        <v>130</v>
      </c>
      <c r="L5" s="52"/>
      <c r="M5" s="52" t="s">
        <v>113</v>
      </c>
      <c r="N5" s="52"/>
      <c r="O5" s="8">
        <v>1.29</v>
      </c>
      <c r="P5" s="8" t="s">
        <v>144</v>
      </c>
    </row>
    <row r="6" spans="1:16" x14ac:dyDescent="0.35">
      <c r="A6" s="8" t="s">
        <v>8</v>
      </c>
      <c r="B6" s="8" t="s">
        <v>5</v>
      </c>
      <c r="C6" s="14" t="s">
        <v>130</v>
      </c>
      <c r="D6" s="14" t="s">
        <v>113</v>
      </c>
      <c r="E6" s="14" t="s">
        <v>135</v>
      </c>
      <c r="F6" s="15">
        <v>0.40329999999999999</v>
      </c>
      <c r="I6" s="8"/>
      <c r="J6" s="8" t="s">
        <v>114</v>
      </c>
      <c r="K6" s="52" t="s">
        <v>131</v>
      </c>
      <c r="L6" s="52"/>
      <c r="M6" s="52" t="s">
        <v>127</v>
      </c>
      <c r="N6" s="52"/>
      <c r="O6" s="8">
        <v>1.2</v>
      </c>
      <c r="P6" s="8" t="s">
        <v>144</v>
      </c>
    </row>
    <row r="7" spans="1:16" x14ac:dyDescent="0.35">
      <c r="A7" s="8"/>
      <c r="B7" s="8" t="s">
        <v>124</v>
      </c>
      <c r="C7" s="14" t="s">
        <v>132</v>
      </c>
      <c r="D7" s="14" t="s">
        <v>127</v>
      </c>
      <c r="E7" s="14" t="s">
        <v>136</v>
      </c>
      <c r="F7" s="15">
        <v>1</v>
      </c>
    </row>
    <row r="8" spans="1:16" x14ac:dyDescent="0.35">
      <c r="A8" s="8"/>
      <c r="B8" s="8" t="s">
        <v>114</v>
      </c>
      <c r="C8" s="14" t="s">
        <v>131</v>
      </c>
      <c r="D8" s="14" t="s">
        <v>117</v>
      </c>
      <c r="E8" s="14" t="s">
        <v>137</v>
      </c>
      <c r="F8" s="15">
        <v>0.33289999999999997</v>
      </c>
    </row>
    <row r="13" spans="1:16" ht="15" customHeight="1" x14ac:dyDescent="0.35">
      <c r="A13" s="44" t="s">
        <v>0</v>
      </c>
      <c r="B13" s="44" t="s">
        <v>2</v>
      </c>
      <c r="C13" s="46" t="s">
        <v>145</v>
      </c>
      <c r="D13" s="46" t="s">
        <v>146</v>
      </c>
      <c r="E13" s="49" t="s">
        <v>147</v>
      </c>
      <c r="F13" s="43" t="s">
        <v>148</v>
      </c>
      <c r="I13" s="44" t="s">
        <v>0</v>
      </c>
      <c r="J13" s="44" t="s">
        <v>2</v>
      </c>
      <c r="K13" s="45" t="s">
        <v>145</v>
      </c>
      <c r="L13" s="45" t="s">
        <v>146</v>
      </c>
      <c r="M13" s="43" t="s">
        <v>147</v>
      </c>
      <c r="N13" s="43" t="s">
        <v>148</v>
      </c>
    </row>
    <row r="14" spans="1:16" x14ac:dyDescent="0.35">
      <c r="A14" s="44"/>
      <c r="B14" s="44"/>
      <c r="C14" s="47"/>
      <c r="D14" s="47"/>
      <c r="E14" s="50"/>
      <c r="F14" s="43"/>
      <c r="I14" s="44"/>
      <c r="J14" s="44"/>
      <c r="K14" s="45"/>
      <c r="L14" s="45"/>
      <c r="M14" s="43"/>
      <c r="N14" s="43"/>
    </row>
    <row r="15" spans="1:16" x14ac:dyDescent="0.35">
      <c r="A15" s="44"/>
      <c r="B15" s="44"/>
      <c r="C15" s="48"/>
      <c r="D15" s="48"/>
      <c r="E15" s="51"/>
      <c r="F15" s="43"/>
      <c r="I15" s="44"/>
      <c r="J15" s="44"/>
      <c r="K15" s="45"/>
      <c r="L15" s="45"/>
      <c r="M15" s="43"/>
      <c r="N15" s="43"/>
    </row>
    <row r="16" spans="1:16" x14ac:dyDescent="0.35">
      <c r="A16" s="8" t="s">
        <v>6</v>
      </c>
      <c r="B16" s="8" t="s">
        <v>3</v>
      </c>
      <c r="C16" s="14" t="s">
        <v>128</v>
      </c>
      <c r="D16" s="14" t="s">
        <v>108</v>
      </c>
      <c r="E16" s="14" t="s">
        <v>133</v>
      </c>
      <c r="F16" s="15">
        <v>0.5</v>
      </c>
      <c r="I16" s="8" t="s">
        <v>6</v>
      </c>
      <c r="J16" s="8" t="s">
        <v>3</v>
      </c>
      <c r="K16" s="14" t="s">
        <v>128</v>
      </c>
      <c r="L16" s="14" t="s">
        <v>108</v>
      </c>
      <c r="M16" s="14" t="s">
        <v>133</v>
      </c>
      <c r="N16" s="14" t="s">
        <v>149</v>
      </c>
    </row>
    <row r="17" spans="1:14" x14ac:dyDescent="0.35">
      <c r="A17" s="8" t="s">
        <v>7</v>
      </c>
      <c r="B17" s="8" t="s">
        <v>125</v>
      </c>
      <c r="C17" s="16" t="s">
        <v>129</v>
      </c>
      <c r="D17" s="14" t="s">
        <v>126</v>
      </c>
      <c r="E17" s="14" t="s">
        <v>134</v>
      </c>
      <c r="F17" s="15"/>
      <c r="I17" s="8" t="s">
        <v>7</v>
      </c>
      <c r="J17" s="8" t="s">
        <v>125</v>
      </c>
      <c r="K17" s="16" t="s">
        <v>129</v>
      </c>
      <c r="L17" s="14" t="s">
        <v>126</v>
      </c>
      <c r="M17" s="14" t="s">
        <v>134</v>
      </c>
      <c r="N17" s="8" t="s">
        <v>150</v>
      </c>
    </row>
    <row r="18" spans="1:14" x14ac:dyDescent="0.35">
      <c r="A18" s="8" t="s">
        <v>8</v>
      </c>
      <c r="B18" s="8" t="s">
        <v>5</v>
      </c>
      <c r="C18" s="14" t="s">
        <v>130</v>
      </c>
      <c r="D18" s="14" t="s">
        <v>113</v>
      </c>
      <c r="E18" s="14" t="s">
        <v>135</v>
      </c>
      <c r="F18" s="15"/>
      <c r="I18" s="8" t="s">
        <v>8</v>
      </c>
      <c r="J18" s="8" t="s">
        <v>5</v>
      </c>
      <c r="K18" s="14" t="s">
        <v>130</v>
      </c>
      <c r="L18" s="14" t="s">
        <v>113</v>
      </c>
      <c r="M18" s="14" t="s">
        <v>135</v>
      </c>
      <c r="N18" s="14" t="s">
        <v>151</v>
      </c>
    </row>
    <row r="19" spans="1:14" x14ac:dyDescent="0.35">
      <c r="A19" s="8"/>
      <c r="B19" s="8" t="s">
        <v>124</v>
      </c>
      <c r="C19" s="14" t="s">
        <v>132</v>
      </c>
      <c r="D19" s="14" t="s">
        <v>127</v>
      </c>
      <c r="E19" s="14" t="s">
        <v>136</v>
      </c>
      <c r="F19" s="15"/>
      <c r="I19" s="8"/>
      <c r="J19" s="8" t="s">
        <v>124</v>
      </c>
      <c r="K19" s="14" t="s">
        <v>132</v>
      </c>
      <c r="L19" s="14" t="s">
        <v>127</v>
      </c>
      <c r="M19" s="14" t="s">
        <v>136</v>
      </c>
      <c r="N19" s="8" t="s">
        <v>153</v>
      </c>
    </row>
    <row r="20" spans="1:14" x14ac:dyDescent="0.35">
      <c r="A20" s="8"/>
      <c r="B20" s="8" t="s">
        <v>114</v>
      </c>
      <c r="C20" s="14" t="s">
        <v>131</v>
      </c>
      <c r="D20" s="14" t="s">
        <v>117</v>
      </c>
      <c r="E20" s="14" t="s">
        <v>137</v>
      </c>
      <c r="F20" s="15"/>
      <c r="I20" s="8"/>
      <c r="J20" s="8" t="s">
        <v>114</v>
      </c>
      <c r="K20" s="14" t="s">
        <v>131</v>
      </c>
      <c r="L20" s="14" t="s">
        <v>117</v>
      </c>
      <c r="M20" s="14" t="s">
        <v>137</v>
      </c>
      <c r="N20" s="14" t="s">
        <v>152</v>
      </c>
    </row>
    <row r="24" spans="1:14" x14ac:dyDescent="0.35">
      <c r="G24" s="17"/>
      <c r="H24" s="17"/>
      <c r="I24" s="17"/>
    </row>
  </sheetData>
  <mergeCells count="32">
    <mergeCell ref="M4:N4"/>
    <mergeCell ref="M5:N5"/>
    <mergeCell ref="M6:N6"/>
    <mergeCell ref="I1:I2"/>
    <mergeCell ref="K3:L3"/>
    <mergeCell ref="K4:L4"/>
    <mergeCell ref="K5:L5"/>
    <mergeCell ref="K6:L6"/>
    <mergeCell ref="K1:L2"/>
    <mergeCell ref="M1:N2"/>
    <mergeCell ref="O1:O2"/>
    <mergeCell ref="J1:J2"/>
    <mergeCell ref="P1:P2"/>
    <mergeCell ref="F1:F3"/>
    <mergeCell ref="A1:A3"/>
    <mergeCell ref="B1:B3"/>
    <mergeCell ref="C1:C3"/>
    <mergeCell ref="D1:D3"/>
    <mergeCell ref="E1:E3"/>
    <mergeCell ref="M3:N3"/>
    <mergeCell ref="A13:A15"/>
    <mergeCell ref="B13:B15"/>
    <mergeCell ref="C13:C15"/>
    <mergeCell ref="D13:D15"/>
    <mergeCell ref="E13:E15"/>
    <mergeCell ref="M13:M15"/>
    <mergeCell ref="N13:N15"/>
    <mergeCell ref="F13:F15"/>
    <mergeCell ref="I13:I15"/>
    <mergeCell ref="J13:J15"/>
    <mergeCell ref="K13:K15"/>
    <mergeCell ref="L13:L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D6AE-061C-4825-B313-86EF86E2E735}">
  <dimension ref="A1:N67"/>
  <sheetViews>
    <sheetView tabSelected="1" topLeftCell="G16" workbookViewId="0">
      <selection activeCell="I29" sqref="I29"/>
    </sheetView>
  </sheetViews>
  <sheetFormatPr defaultRowHeight="14.5" x14ac:dyDescent="0.35"/>
  <cols>
    <col min="1" max="1" width="5.7265625" customWidth="1"/>
    <col min="2" max="2" width="23.453125" bestFit="1" customWidth="1"/>
    <col min="3" max="7" width="23.81640625" customWidth="1"/>
    <col min="8" max="8" width="18.453125" bestFit="1" customWidth="1"/>
    <col min="9" max="9" width="18.453125" customWidth="1"/>
    <col min="10" max="10" width="23.54296875" bestFit="1" customWidth="1"/>
    <col min="11" max="11" width="25.1796875" bestFit="1" customWidth="1"/>
    <col min="12" max="12" width="24.6328125" bestFit="1" customWidth="1"/>
    <col min="13" max="13" width="23" bestFit="1" customWidth="1"/>
    <col min="14" max="14" width="17.90625" bestFit="1" customWidth="1"/>
    <col min="18" max="18" width="13.54296875" bestFit="1" customWidth="1"/>
    <col min="19" max="19" width="16.7265625" bestFit="1" customWidth="1"/>
    <col min="20" max="20" width="18.26953125" bestFit="1" customWidth="1"/>
  </cols>
  <sheetData>
    <row r="1" spans="1:14" x14ac:dyDescent="0.35">
      <c r="A1" s="60" t="s">
        <v>0</v>
      </c>
      <c r="B1" s="60" t="s">
        <v>154</v>
      </c>
      <c r="C1" s="63" t="s">
        <v>155</v>
      </c>
      <c r="D1" s="63" t="s">
        <v>156</v>
      </c>
      <c r="E1" s="63" t="s">
        <v>157</v>
      </c>
      <c r="F1" s="63" t="s">
        <v>158</v>
      </c>
      <c r="G1" s="60" t="s">
        <v>159</v>
      </c>
      <c r="H1" s="61" t="s">
        <v>160</v>
      </c>
    </row>
    <row r="2" spans="1:14" ht="15" x14ac:dyDescent="0.35">
      <c r="A2" s="60"/>
      <c r="B2" s="60"/>
      <c r="C2" s="63"/>
      <c r="D2" s="63"/>
      <c r="E2" s="63"/>
      <c r="F2" s="63"/>
      <c r="G2" s="60"/>
      <c r="H2" s="61"/>
    </row>
    <row r="3" spans="1:14" ht="15.5" x14ac:dyDescent="0.35">
      <c r="A3" s="18" t="s">
        <v>6</v>
      </c>
      <c r="B3" s="18" t="s">
        <v>3</v>
      </c>
      <c r="C3" s="18" t="s">
        <v>162</v>
      </c>
      <c r="D3" s="19">
        <v>34</v>
      </c>
      <c r="E3" s="19" t="s">
        <v>163</v>
      </c>
      <c r="F3" s="19">
        <v>4</v>
      </c>
      <c r="G3" s="18" t="s">
        <v>166</v>
      </c>
      <c r="H3" s="19">
        <v>1</v>
      </c>
    </row>
    <row r="4" spans="1:14" ht="15.5" x14ac:dyDescent="0.35">
      <c r="A4" s="18" t="s">
        <v>7</v>
      </c>
      <c r="B4" s="18" t="s">
        <v>91</v>
      </c>
      <c r="C4" s="18" t="s">
        <v>162</v>
      </c>
      <c r="D4" s="19">
        <v>27</v>
      </c>
      <c r="E4" s="19" t="s">
        <v>164</v>
      </c>
      <c r="F4" s="19">
        <v>3</v>
      </c>
      <c r="G4" s="18" t="s">
        <v>166</v>
      </c>
      <c r="H4" s="19">
        <v>4</v>
      </c>
    </row>
    <row r="5" spans="1:14" ht="15.5" x14ac:dyDescent="0.35">
      <c r="A5" s="18" t="s">
        <v>8</v>
      </c>
      <c r="B5" s="18" t="s">
        <v>161</v>
      </c>
      <c r="C5" s="18" t="s">
        <v>162</v>
      </c>
      <c r="D5" s="19">
        <v>30</v>
      </c>
      <c r="E5" s="19" t="s">
        <v>165</v>
      </c>
      <c r="F5" s="19">
        <v>4</v>
      </c>
      <c r="G5" s="18" t="s">
        <v>166</v>
      </c>
      <c r="H5" s="19">
        <v>1</v>
      </c>
    </row>
    <row r="8" spans="1:14" ht="15.5" x14ac:dyDescent="0.35">
      <c r="A8" s="20"/>
    </row>
    <row r="9" spans="1:14" ht="15.5" x14ac:dyDescent="0.35">
      <c r="A9" s="62" t="s">
        <v>0</v>
      </c>
      <c r="B9" s="62" t="s">
        <v>1</v>
      </c>
      <c r="C9" s="55" t="s">
        <v>154</v>
      </c>
      <c r="D9" s="55"/>
      <c r="E9" s="55"/>
      <c r="F9" s="55"/>
      <c r="G9" s="55"/>
      <c r="H9" s="55"/>
      <c r="I9" s="20"/>
      <c r="J9" s="62" t="s">
        <v>0</v>
      </c>
      <c r="K9" s="62" t="s">
        <v>202</v>
      </c>
      <c r="L9" s="58" t="s">
        <v>154</v>
      </c>
      <c r="M9" s="64"/>
      <c r="N9" s="59"/>
    </row>
    <row r="10" spans="1:14" ht="15.5" x14ac:dyDescent="0.35">
      <c r="A10" s="62"/>
      <c r="B10" s="62"/>
      <c r="C10" s="55" t="s">
        <v>167</v>
      </c>
      <c r="D10" s="55"/>
      <c r="E10" s="55" t="s">
        <v>168</v>
      </c>
      <c r="F10" s="55"/>
      <c r="G10" s="55" t="s">
        <v>5</v>
      </c>
      <c r="H10" s="55"/>
      <c r="I10" s="20"/>
      <c r="J10" s="62"/>
      <c r="K10" s="62"/>
      <c r="L10" s="18" t="s">
        <v>167</v>
      </c>
      <c r="M10" s="18" t="s">
        <v>168</v>
      </c>
      <c r="N10" s="18" t="s">
        <v>5</v>
      </c>
    </row>
    <row r="11" spans="1:14" ht="15.5" x14ac:dyDescent="0.35">
      <c r="A11" s="62"/>
      <c r="B11" s="62"/>
      <c r="C11" s="18" t="s">
        <v>200</v>
      </c>
      <c r="D11" s="18" t="s">
        <v>201</v>
      </c>
      <c r="E11" s="18"/>
      <c r="F11" s="18" t="s">
        <v>201</v>
      </c>
      <c r="G11" s="18"/>
      <c r="H11" s="18" t="s">
        <v>201</v>
      </c>
      <c r="I11" s="20"/>
      <c r="J11" s="18" t="s">
        <v>6</v>
      </c>
      <c r="K11" s="18" t="s">
        <v>17</v>
      </c>
      <c r="L11" s="25">
        <f>C12/D12</f>
        <v>1666666.6666666667</v>
      </c>
      <c r="M11" s="25">
        <f>E12/F12</f>
        <v>1250000</v>
      </c>
      <c r="N11" s="25">
        <f>G12/H12</f>
        <v>1500000</v>
      </c>
    </row>
    <row r="12" spans="1:14" ht="15.5" x14ac:dyDescent="0.35">
      <c r="A12" s="18" t="s">
        <v>6</v>
      </c>
      <c r="B12" s="18" t="s">
        <v>17</v>
      </c>
      <c r="C12" s="25">
        <v>40000000</v>
      </c>
      <c r="D12" s="72">
        <v>24</v>
      </c>
      <c r="E12" s="25">
        <v>60000000</v>
      </c>
      <c r="F12" s="72">
        <v>48</v>
      </c>
      <c r="G12" s="25">
        <v>72000000</v>
      </c>
      <c r="H12" s="72">
        <v>48</v>
      </c>
      <c r="I12" s="68"/>
      <c r="J12" s="18" t="s">
        <v>7</v>
      </c>
      <c r="K12" s="18" t="s">
        <v>50</v>
      </c>
      <c r="L12" s="25">
        <f t="shared" ref="L12:L20" si="0">C13/D13</f>
        <v>104166.66666666667</v>
      </c>
      <c r="M12" s="25">
        <f t="shared" ref="M12:M20" si="1">E13/F13</f>
        <v>62500</v>
      </c>
      <c r="N12" s="25">
        <f t="shared" ref="N12:N20" si="2">G13/H13</f>
        <v>125000</v>
      </c>
    </row>
    <row r="13" spans="1:14" ht="15.5" x14ac:dyDescent="0.35">
      <c r="A13" s="18" t="s">
        <v>7</v>
      </c>
      <c r="B13" s="18" t="s">
        <v>50</v>
      </c>
      <c r="C13" s="25">
        <v>5000000</v>
      </c>
      <c r="D13" s="72">
        <v>48</v>
      </c>
      <c r="E13" s="25">
        <v>3000000</v>
      </c>
      <c r="F13" s="72">
        <v>48</v>
      </c>
      <c r="G13" s="25">
        <v>6000000</v>
      </c>
      <c r="H13" s="72">
        <v>48</v>
      </c>
      <c r="I13" s="68"/>
      <c r="J13" s="18" t="s">
        <v>8</v>
      </c>
      <c r="K13" s="18" t="s">
        <v>19</v>
      </c>
      <c r="L13" s="25">
        <f t="shared" si="0"/>
        <v>31250</v>
      </c>
      <c r="M13" s="25">
        <f t="shared" si="1"/>
        <v>41666.666666666664</v>
      </c>
      <c r="N13" s="25">
        <f t="shared" si="2"/>
        <v>62500</v>
      </c>
    </row>
    <row r="14" spans="1:14" ht="15.5" x14ac:dyDescent="0.35">
      <c r="A14" s="18" t="s">
        <v>8</v>
      </c>
      <c r="B14" s="18" t="s">
        <v>19</v>
      </c>
      <c r="C14" s="25">
        <v>1500000</v>
      </c>
      <c r="D14" s="72">
        <v>48</v>
      </c>
      <c r="E14" s="25">
        <v>2000000</v>
      </c>
      <c r="F14" s="72">
        <v>48</v>
      </c>
      <c r="G14" s="25">
        <v>3000000</v>
      </c>
      <c r="H14" s="72">
        <v>48</v>
      </c>
      <c r="I14" s="68"/>
      <c r="J14" s="18" t="s">
        <v>9</v>
      </c>
      <c r="K14" s="18" t="s">
        <v>20</v>
      </c>
      <c r="L14" s="25">
        <f t="shared" si="0"/>
        <v>52083.333333333336</v>
      </c>
      <c r="M14" s="25">
        <f t="shared" si="1"/>
        <v>41666.666666666664</v>
      </c>
      <c r="N14" s="25">
        <f t="shared" si="2"/>
        <v>72916.666666666672</v>
      </c>
    </row>
    <row r="15" spans="1:14" ht="15.5" x14ac:dyDescent="0.35">
      <c r="A15" s="18" t="s">
        <v>9</v>
      </c>
      <c r="B15" s="18" t="s">
        <v>20</v>
      </c>
      <c r="C15" s="25">
        <v>2500000</v>
      </c>
      <c r="D15" s="72">
        <v>48</v>
      </c>
      <c r="E15" s="25">
        <v>2000000</v>
      </c>
      <c r="F15" s="72">
        <v>48</v>
      </c>
      <c r="G15" s="25">
        <v>3500000</v>
      </c>
      <c r="H15" s="72">
        <v>48</v>
      </c>
      <c r="I15" s="68"/>
      <c r="J15" s="18" t="s">
        <v>10</v>
      </c>
      <c r="K15" s="18" t="s">
        <v>21</v>
      </c>
      <c r="L15" s="25">
        <f t="shared" si="0"/>
        <v>125000</v>
      </c>
      <c r="M15" s="25">
        <f t="shared" si="1"/>
        <v>83333.333333333328</v>
      </c>
      <c r="N15" s="25">
        <f t="shared" si="2"/>
        <v>250000</v>
      </c>
    </row>
    <row r="16" spans="1:14" x14ac:dyDescent="0.35">
      <c r="A16" s="18" t="s">
        <v>10</v>
      </c>
      <c r="B16" s="18" t="s">
        <v>21</v>
      </c>
      <c r="C16" s="25">
        <v>6000000</v>
      </c>
      <c r="D16" s="72">
        <v>48</v>
      </c>
      <c r="E16" s="25">
        <v>4000000</v>
      </c>
      <c r="F16" s="72">
        <v>48</v>
      </c>
      <c r="G16" s="25">
        <v>12000000</v>
      </c>
      <c r="H16" s="72">
        <v>48</v>
      </c>
      <c r="I16" s="68"/>
      <c r="J16" s="18" t="s">
        <v>11</v>
      </c>
      <c r="K16" s="18" t="s">
        <v>169</v>
      </c>
      <c r="L16" s="25">
        <f t="shared" si="0"/>
        <v>91666.666666666672</v>
      </c>
      <c r="M16" s="25">
        <f t="shared" si="1"/>
        <v>27083.333333333332</v>
      </c>
      <c r="N16" s="25">
        <f t="shared" si="2"/>
        <v>31250</v>
      </c>
    </row>
    <row r="17" spans="1:14" ht="15.5" x14ac:dyDescent="0.35">
      <c r="A17" s="18" t="s">
        <v>11</v>
      </c>
      <c r="B17" s="18" t="s">
        <v>169</v>
      </c>
      <c r="C17" s="25">
        <v>4400000</v>
      </c>
      <c r="D17" s="72">
        <v>48</v>
      </c>
      <c r="E17" s="25">
        <v>1300000</v>
      </c>
      <c r="F17" s="72">
        <v>48</v>
      </c>
      <c r="G17" s="25">
        <v>1500000</v>
      </c>
      <c r="H17" s="72">
        <v>48</v>
      </c>
      <c r="I17" s="68"/>
      <c r="J17" s="18" t="s">
        <v>12</v>
      </c>
      <c r="K17" s="18" t="s">
        <v>23</v>
      </c>
      <c r="L17" s="25">
        <f t="shared" si="0"/>
        <v>100000</v>
      </c>
      <c r="M17" s="25">
        <f t="shared" si="1"/>
        <v>16.666666666666668</v>
      </c>
      <c r="N17" s="25">
        <f t="shared" si="2"/>
        <v>15.625</v>
      </c>
    </row>
    <row r="18" spans="1:14" ht="15.5" x14ac:dyDescent="0.35">
      <c r="A18" s="18" t="s">
        <v>12</v>
      </c>
      <c r="B18" s="18" t="s">
        <v>23</v>
      </c>
      <c r="C18" s="25">
        <v>4800000</v>
      </c>
      <c r="D18" s="72">
        <v>48</v>
      </c>
      <c r="E18" s="25">
        <v>800</v>
      </c>
      <c r="F18" s="72">
        <v>48</v>
      </c>
      <c r="G18" s="25">
        <v>750</v>
      </c>
      <c r="H18" s="72">
        <v>48</v>
      </c>
      <c r="I18" s="68"/>
      <c r="J18" s="18" t="s">
        <v>13</v>
      </c>
      <c r="K18" s="18" t="s">
        <v>24</v>
      </c>
      <c r="L18" s="25">
        <f t="shared" si="0"/>
        <v>7.291666666666667</v>
      </c>
      <c r="M18" s="25">
        <f t="shared" si="1"/>
        <v>83333.333333333328</v>
      </c>
      <c r="N18" s="25">
        <f t="shared" si="2"/>
        <v>166666.66666666666</v>
      </c>
    </row>
    <row r="19" spans="1:14" ht="15.5" x14ac:dyDescent="0.35">
      <c r="A19" s="18" t="s">
        <v>13</v>
      </c>
      <c r="B19" s="18" t="s">
        <v>24</v>
      </c>
      <c r="C19" s="25">
        <v>350</v>
      </c>
      <c r="D19" s="72">
        <v>48</v>
      </c>
      <c r="E19" s="25">
        <v>4000000</v>
      </c>
      <c r="F19" s="72">
        <v>48</v>
      </c>
      <c r="G19" s="25">
        <v>8000000</v>
      </c>
      <c r="H19" s="72">
        <v>48</v>
      </c>
      <c r="I19" s="68"/>
      <c r="J19" s="18" t="s">
        <v>14</v>
      </c>
      <c r="K19" s="18" t="s">
        <v>25</v>
      </c>
      <c r="L19" s="25">
        <f t="shared" si="0"/>
        <v>104166.66666666667</v>
      </c>
      <c r="M19" s="25">
        <f t="shared" si="1"/>
        <v>125000</v>
      </c>
      <c r="N19" s="25">
        <f t="shared" si="2"/>
        <v>145833.33333333334</v>
      </c>
    </row>
    <row r="20" spans="1:14" ht="15.5" x14ac:dyDescent="0.35">
      <c r="A20" s="18" t="s">
        <v>14</v>
      </c>
      <c r="B20" s="18" t="s">
        <v>25</v>
      </c>
      <c r="C20" s="25">
        <v>5000000</v>
      </c>
      <c r="D20" s="72">
        <v>48</v>
      </c>
      <c r="E20" s="25">
        <v>6000000</v>
      </c>
      <c r="F20" s="72">
        <v>48</v>
      </c>
      <c r="G20" s="25">
        <v>7000000</v>
      </c>
      <c r="H20" s="72">
        <v>48</v>
      </c>
      <c r="I20" s="68"/>
      <c r="J20" s="18" t="s">
        <v>15</v>
      </c>
      <c r="K20" s="18" t="s">
        <v>26</v>
      </c>
      <c r="L20" s="25">
        <f t="shared" si="0"/>
        <v>2.0833333333333335</v>
      </c>
      <c r="M20" s="25">
        <f t="shared" si="1"/>
        <v>2.0833333333333335</v>
      </c>
      <c r="N20" s="25">
        <f t="shared" si="2"/>
        <v>2.0833333333333335</v>
      </c>
    </row>
    <row r="21" spans="1:14" ht="15.5" x14ac:dyDescent="0.35">
      <c r="A21" s="18" t="s">
        <v>15</v>
      </c>
      <c r="B21" s="18" t="s">
        <v>26</v>
      </c>
      <c r="C21" s="25">
        <v>100</v>
      </c>
      <c r="D21" s="72">
        <v>48</v>
      </c>
      <c r="E21" s="25">
        <v>100</v>
      </c>
      <c r="F21" s="72">
        <v>48</v>
      </c>
      <c r="G21" s="25">
        <v>100</v>
      </c>
      <c r="H21" s="72">
        <v>48</v>
      </c>
      <c r="I21" s="68"/>
      <c r="J21" s="55" t="s">
        <v>170</v>
      </c>
      <c r="K21" s="55"/>
      <c r="L21" s="25">
        <f>SUM(L11:L20)</f>
        <v>2275009.375</v>
      </c>
      <c r="M21" s="25">
        <f>SUM(M11:M20)</f>
        <v>1714602.0833333333</v>
      </c>
      <c r="N21" s="25">
        <f>SUM(N11:N20)</f>
        <v>2354184.3750000005</v>
      </c>
    </row>
    <row r="22" spans="1:14" ht="15.5" x14ac:dyDescent="0.35">
      <c r="A22" s="55" t="s">
        <v>170</v>
      </c>
      <c r="B22" s="55"/>
      <c r="C22" s="25">
        <f>SUM(C12:C21)</f>
        <v>69200450</v>
      </c>
      <c r="D22" s="72">
        <f>SUM(D12:D21)</f>
        <v>456</v>
      </c>
      <c r="E22" s="25">
        <f>SUM(E12:E21)</f>
        <v>82300900</v>
      </c>
      <c r="F22" s="72">
        <f>SUM(F12:F21)</f>
        <v>480</v>
      </c>
      <c r="G22" s="25">
        <f>SUM(G12:G21)</f>
        <v>113000850</v>
      </c>
      <c r="H22" s="72">
        <f>SUM(H12:H21)</f>
        <v>480</v>
      </c>
      <c r="I22" s="20"/>
    </row>
    <row r="24" spans="1:14" ht="15.5" x14ac:dyDescent="0.35">
      <c r="B24" s="65" t="s">
        <v>3</v>
      </c>
      <c r="C24" s="66"/>
      <c r="D24" s="66"/>
      <c r="E24" s="66"/>
      <c r="F24" s="66"/>
      <c r="G24" s="71"/>
      <c r="H24" s="71"/>
      <c r="I24" s="58" t="s">
        <v>194</v>
      </c>
      <c r="J24" s="64"/>
      <c r="K24" s="64"/>
      <c r="L24" s="59"/>
    </row>
    <row r="25" spans="1:14" ht="15.5" x14ac:dyDescent="0.35">
      <c r="B25" s="22" t="s">
        <v>172</v>
      </c>
      <c r="C25" s="22" t="s">
        <v>124</v>
      </c>
      <c r="D25" s="22" t="s">
        <v>191</v>
      </c>
      <c r="E25" s="22" t="s">
        <v>177</v>
      </c>
      <c r="F25" s="22" t="s">
        <v>173</v>
      </c>
      <c r="G25" s="69"/>
      <c r="I25" s="18" t="s">
        <v>3</v>
      </c>
      <c r="J25" s="18" t="s">
        <v>91</v>
      </c>
      <c r="K25" s="18" t="s">
        <v>5</v>
      </c>
      <c r="L25" s="18" t="s">
        <v>191</v>
      </c>
    </row>
    <row r="26" spans="1:14" ht="15.5" x14ac:dyDescent="0.35">
      <c r="B26" s="18" t="s">
        <v>94</v>
      </c>
      <c r="C26" s="18">
        <v>150</v>
      </c>
      <c r="D26" s="18" t="s">
        <v>187</v>
      </c>
      <c r="E26" s="23">
        <f>F26/C26</f>
        <v>25600</v>
      </c>
      <c r="F26" s="74">
        <v>3840000</v>
      </c>
      <c r="G26" s="70"/>
      <c r="I26" s="27">
        <f>(L21+C58)/(G62-F31)</f>
        <v>0.39339660619649408</v>
      </c>
      <c r="J26" s="27">
        <f>(M21+D58)/(G64-F40)</f>
        <v>0.51488583997417048</v>
      </c>
      <c r="K26" s="27">
        <f>(N21+E58)/(G66-F49)</f>
        <v>0.30119754517356156</v>
      </c>
      <c r="L26" s="18" t="s">
        <v>198</v>
      </c>
    </row>
    <row r="27" spans="1:14" ht="15.5" x14ac:dyDescent="0.35">
      <c r="B27" s="18" t="s">
        <v>174</v>
      </c>
      <c r="C27" s="18">
        <v>80</v>
      </c>
      <c r="D27" s="18" t="s">
        <v>187</v>
      </c>
      <c r="E27" s="23">
        <f t="shared" ref="E27:E30" si="3">F27/C27</f>
        <v>71250</v>
      </c>
      <c r="F27" s="74">
        <v>5700000</v>
      </c>
      <c r="G27" s="70"/>
      <c r="I27" s="28">
        <f>I26*(E62+E63)</f>
        <v>57435.904504688137</v>
      </c>
      <c r="J27" s="28">
        <f>J26*(E64+E65)</f>
        <v>75173.332636228894</v>
      </c>
      <c r="K27" s="28">
        <f>K26*(E66+E67)</f>
        <v>44577.236685687109</v>
      </c>
      <c r="L27" s="18" t="s">
        <v>199</v>
      </c>
    </row>
    <row r="28" spans="1:14" ht="15.5" x14ac:dyDescent="0.35">
      <c r="B28" s="18" t="s">
        <v>95</v>
      </c>
      <c r="C28" s="18">
        <v>4000</v>
      </c>
      <c r="D28" s="18" t="s">
        <v>190</v>
      </c>
      <c r="E28" s="23">
        <f t="shared" si="3"/>
        <v>120</v>
      </c>
      <c r="F28" s="74">
        <v>480000</v>
      </c>
      <c r="G28" s="70"/>
    </row>
    <row r="29" spans="1:14" ht="15.5" x14ac:dyDescent="0.35">
      <c r="B29" s="18" t="s">
        <v>175</v>
      </c>
      <c r="C29" s="18">
        <v>250</v>
      </c>
      <c r="D29" s="18" t="s">
        <v>188</v>
      </c>
      <c r="E29" s="23">
        <f t="shared" si="3"/>
        <v>80</v>
      </c>
      <c r="F29" s="74">
        <v>20000</v>
      </c>
      <c r="G29" s="70"/>
    </row>
    <row r="30" spans="1:14" ht="15.5" x14ac:dyDescent="0.35">
      <c r="B30" s="18" t="s">
        <v>176</v>
      </c>
      <c r="C30" s="18">
        <v>1000</v>
      </c>
      <c r="D30" s="18" t="s">
        <v>190</v>
      </c>
      <c r="E30" s="23">
        <f t="shared" si="3"/>
        <v>95</v>
      </c>
      <c r="F30" s="74">
        <v>95000</v>
      </c>
      <c r="G30" s="70"/>
    </row>
    <row r="31" spans="1:14" ht="15.5" x14ac:dyDescent="0.35">
      <c r="B31" s="58" t="s">
        <v>173</v>
      </c>
      <c r="C31" s="64"/>
      <c r="D31" s="64"/>
      <c r="E31" s="59"/>
      <c r="F31" s="23">
        <f>SUM(F26:F30)</f>
        <v>10135000</v>
      </c>
      <c r="G31" s="70"/>
    </row>
    <row r="32" spans="1:14" ht="15.5" x14ac:dyDescent="0.35">
      <c r="B32" s="26"/>
      <c r="C32" s="26"/>
      <c r="D32" s="26"/>
      <c r="E32" s="26"/>
      <c r="F32" s="26"/>
      <c r="G32" s="26"/>
    </row>
    <row r="33" spans="2:9" ht="15.5" x14ac:dyDescent="0.35">
      <c r="B33" s="65" t="s">
        <v>193</v>
      </c>
      <c r="C33" s="66"/>
      <c r="D33" s="66"/>
      <c r="E33" s="66"/>
      <c r="F33" s="67"/>
      <c r="G33" s="69"/>
    </row>
    <row r="34" spans="2:9" ht="15.5" x14ac:dyDescent="0.35">
      <c r="B34" s="21" t="s">
        <v>172</v>
      </c>
      <c r="C34" s="22" t="s">
        <v>124</v>
      </c>
      <c r="D34" s="22" t="s">
        <v>191</v>
      </c>
      <c r="E34" s="22" t="s">
        <v>177</v>
      </c>
      <c r="F34" s="22" t="s">
        <v>173</v>
      </c>
      <c r="G34" s="69"/>
    </row>
    <row r="35" spans="2:9" ht="15.5" x14ac:dyDescent="0.35">
      <c r="B35" s="18" t="s">
        <v>94</v>
      </c>
      <c r="C35" s="18">
        <v>300</v>
      </c>
      <c r="D35" s="18" t="s">
        <v>187</v>
      </c>
      <c r="E35" s="23">
        <f>F35/C35</f>
        <v>6333.333333333333</v>
      </c>
      <c r="F35" s="74">
        <v>1900000</v>
      </c>
      <c r="G35" s="70"/>
    </row>
    <row r="36" spans="2:9" x14ac:dyDescent="0.35">
      <c r="B36" s="18" t="s">
        <v>93</v>
      </c>
      <c r="C36" s="18">
        <v>50</v>
      </c>
      <c r="D36" s="18" t="s">
        <v>187</v>
      </c>
      <c r="E36" s="23">
        <f t="shared" ref="E36:E39" si="4">F36/C36</f>
        <v>180000</v>
      </c>
      <c r="F36" s="74">
        <v>9000000</v>
      </c>
      <c r="G36" s="70"/>
    </row>
    <row r="37" spans="2:9" ht="15.5" x14ac:dyDescent="0.35">
      <c r="B37" s="18" t="s">
        <v>95</v>
      </c>
      <c r="C37" s="18">
        <v>3000</v>
      </c>
      <c r="D37" s="18" t="s">
        <v>190</v>
      </c>
      <c r="E37" s="23">
        <f t="shared" si="4"/>
        <v>120</v>
      </c>
      <c r="F37" s="74">
        <v>360000</v>
      </c>
      <c r="G37" s="70"/>
    </row>
    <row r="38" spans="2:9" ht="15.5" x14ac:dyDescent="0.35">
      <c r="B38" s="18" t="s">
        <v>96</v>
      </c>
      <c r="C38" s="18">
        <v>1</v>
      </c>
      <c r="D38" s="18" t="s">
        <v>189</v>
      </c>
      <c r="E38" s="23">
        <f t="shared" si="4"/>
        <v>52000</v>
      </c>
      <c r="F38" s="74">
        <v>52000</v>
      </c>
      <c r="G38" s="70"/>
    </row>
    <row r="39" spans="2:9" ht="15.5" x14ac:dyDescent="0.35">
      <c r="B39" s="18" t="s">
        <v>97</v>
      </c>
      <c r="C39" s="18">
        <v>1000</v>
      </c>
      <c r="D39" s="18" t="s">
        <v>190</v>
      </c>
      <c r="E39" s="23">
        <f t="shared" si="4"/>
        <v>75</v>
      </c>
      <c r="F39" s="74">
        <v>75000</v>
      </c>
      <c r="G39" s="70"/>
    </row>
    <row r="40" spans="2:9" ht="15.5" x14ac:dyDescent="0.35">
      <c r="B40" s="58" t="s">
        <v>173</v>
      </c>
      <c r="C40" s="64"/>
      <c r="D40" s="64"/>
      <c r="E40" s="59"/>
      <c r="F40" s="23">
        <f>SUM(F35:F39)</f>
        <v>11387000</v>
      </c>
      <c r="G40" s="70"/>
    </row>
    <row r="41" spans="2:9" ht="15.5" x14ac:dyDescent="0.35">
      <c r="B41" s="26"/>
      <c r="C41" s="26"/>
      <c r="D41" s="26"/>
      <c r="E41" s="26"/>
      <c r="F41" s="26"/>
      <c r="G41" s="26"/>
      <c r="H41" s="24"/>
      <c r="I41" s="24"/>
    </row>
    <row r="42" spans="2:9" ht="15.5" x14ac:dyDescent="0.35">
      <c r="B42" s="65" t="s">
        <v>192</v>
      </c>
      <c r="C42" s="66"/>
      <c r="D42" s="66"/>
      <c r="E42" s="66"/>
      <c r="F42" s="67"/>
      <c r="G42" s="69"/>
    </row>
    <row r="43" spans="2:9" ht="15.5" x14ac:dyDescent="0.35">
      <c r="B43" s="21" t="s">
        <v>178</v>
      </c>
      <c r="C43" s="22" t="s">
        <v>124</v>
      </c>
      <c r="D43" s="22" t="s">
        <v>191</v>
      </c>
      <c r="E43" s="22" t="s">
        <v>177</v>
      </c>
      <c r="F43" s="22" t="s">
        <v>173</v>
      </c>
      <c r="G43" s="69"/>
    </row>
    <row r="44" spans="2:9" ht="15.5" x14ac:dyDescent="0.35">
      <c r="B44" s="18" t="s">
        <v>94</v>
      </c>
      <c r="C44" s="18">
        <v>300</v>
      </c>
      <c r="D44" s="18" t="s">
        <v>187</v>
      </c>
      <c r="E44" s="23">
        <f>F44/C44</f>
        <v>16000</v>
      </c>
      <c r="F44" s="73">
        <v>4800000</v>
      </c>
      <c r="G44" s="70"/>
    </row>
    <row r="45" spans="2:9" ht="15.5" x14ac:dyDescent="0.35">
      <c r="B45" s="18" t="s">
        <v>93</v>
      </c>
      <c r="C45" s="18">
        <v>400</v>
      </c>
      <c r="D45" s="18" t="s">
        <v>187</v>
      </c>
      <c r="E45" s="23">
        <f t="shared" ref="E45:E48" si="5">F45/C45</f>
        <v>28500</v>
      </c>
      <c r="F45" s="73">
        <v>11400000</v>
      </c>
      <c r="G45" s="70"/>
    </row>
    <row r="46" spans="2:9" ht="15.5" x14ac:dyDescent="0.35">
      <c r="B46" s="18" t="s">
        <v>179</v>
      </c>
      <c r="C46" s="18">
        <v>6000</v>
      </c>
      <c r="D46" s="18" t="s">
        <v>190</v>
      </c>
      <c r="E46" s="23">
        <f t="shared" si="5"/>
        <v>120</v>
      </c>
      <c r="F46" s="73">
        <v>720000</v>
      </c>
      <c r="G46" s="70"/>
    </row>
    <row r="47" spans="2:9" ht="15.5" x14ac:dyDescent="0.35">
      <c r="B47" s="18" t="s">
        <v>96</v>
      </c>
      <c r="C47" s="18">
        <v>250</v>
      </c>
      <c r="D47" s="18" t="s">
        <v>188</v>
      </c>
      <c r="E47" s="23">
        <f t="shared" si="5"/>
        <v>80</v>
      </c>
      <c r="F47" s="73">
        <v>20000</v>
      </c>
      <c r="G47" s="70"/>
    </row>
    <row r="48" spans="2:9" ht="15.5" x14ac:dyDescent="0.35">
      <c r="B48" s="18" t="s">
        <v>180</v>
      </c>
      <c r="C48" s="18">
        <v>2000</v>
      </c>
      <c r="D48" s="18" t="s">
        <v>190</v>
      </c>
      <c r="E48" s="23">
        <f t="shared" si="5"/>
        <v>115</v>
      </c>
      <c r="F48" s="73">
        <v>230000</v>
      </c>
      <c r="G48" s="70"/>
    </row>
    <row r="49" spans="1:7" ht="15.5" x14ac:dyDescent="0.35">
      <c r="B49" s="58" t="s">
        <v>173</v>
      </c>
      <c r="C49" s="64"/>
      <c r="D49" s="64"/>
      <c r="E49" s="59"/>
      <c r="F49" s="23">
        <f>SUM(F44:F48)</f>
        <v>17170000</v>
      </c>
      <c r="G49" s="70"/>
    </row>
    <row r="51" spans="1:7" ht="15.75" customHeight="1" x14ac:dyDescent="0.35">
      <c r="A51" s="60" t="s">
        <v>0</v>
      </c>
      <c r="B51" s="60" t="s">
        <v>182</v>
      </c>
      <c r="C51" s="65" t="s">
        <v>2</v>
      </c>
      <c r="D51" s="66"/>
      <c r="E51" s="67"/>
    </row>
    <row r="52" spans="1:7" ht="15.75" customHeight="1" x14ac:dyDescent="0.35">
      <c r="A52" s="60"/>
      <c r="B52" s="60"/>
      <c r="C52" s="21" t="s">
        <v>3</v>
      </c>
      <c r="D52" s="21" t="s">
        <v>91</v>
      </c>
      <c r="E52" s="21" t="s">
        <v>5</v>
      </c>
    </row>
    <row r="53" spans="1:7" ht="15.5" x14ac:dyDescent="0.35">
      <c r="A53" s="60"/>
      <c r="B53" s="18" t="s">
        <v>98</v>
      </c>
      <c r="C53" s="23">
        <v>1500000</v>
      </c>
      <c r="D53" s="23">
        <v>8000000</v>
      </c>
      <c r="E53" s="23">
        <v>1500000</v>
      </c>
    </row>
    <row r="54" spans="1:7" ht="15.5" x14ac:dyDescent="0.35">
      <c r="A54" s="18" t="s">
        <v>6</v>
      </c>
      <c r="B54" s="18" t="s">
        <v>181</v>
      </c>
      <c r="C54" s="23">
        <v>250000</v>
      </c>
      <c r="D54" s="23">
        <v>500000</v>
      </c>
      <c r="E54" s="23">
        <v>1000000</v>
      </c>
    </row>
    <row r="55" spans="1:7" ht="15.5" x14ac:dyDescent="0.35">
      <c r="A55" s="18" t="s">
        <v>7</v>
      </c>
      <c r="B55" s="18" t="s">
        <v>183</v>
      </c>
      <c r="C55" s="23">
        <v>200000</v>
      </c>
      <c r="D55" s="23">
        <v>600000</v>
      </c>
      <c r="E55" s="23">
        <v>600000</v>
      </c>
    </row>
    <row r="56" spans="1:7" ht="15.5" x14ac:dyDescent="0.35">
      <c r="A56" s="18" t="s">
        <v>8</v>
      </c>
      <c r="B56" s="18" t="s">
        <v>184</v>
      </c>
      <c r="C56" s="23">
        <v>100000</v>
      </c>
      <c r="D56" s="23">
        <v>380000</v>
      </c>
      <c r="E56" s="23">
        <v>380000</v>
      </c>
    </row>
    <row r="57" spans="1:7" ht="15.5" x14ac:dyDescent="0.35">
      <c r="A57" s="18" t="s">
        <v>9</v>
      </c>
      <c r="B57" s="18" t="s">
        <v>185</v>
      </c>
      <c r="C57" s="23">
        <v>500000</v>
      </c>
      <c r="D57" s="23">
        <v>500000</v>
      </c>
      <c r="E57" s="23">
        <v>500000</v>
      </c>
    </row>
    <row r="58" spans="1:7" ht="15.5" x14ac:dyDescent="0.35">
      <c r="A58" s="58" t="s">
        <v>186</v>
      </c>
      <c r="B58" s="59"/>
      <c r="C58" s="23">
        <f>SUM(C53:C57)</f>
        <v>2550000</v>
      </c>
      <c r="D58" s="23">
        <f>SUM(D53:D57)</f>
        <v>9980000</v>
      </c>
      <c r="E58" s="23">
        <f>SUM(E53:E57)</f>
        <v>3980000</v>
      </c>
    </row>
    <row r="61" spans="1:7" ht="15.5" x14ac:dyDescent="0.35">
      <c r="A61" s="18" t="s">
        <v>0</v>
      </c>
      <c r="B61" s="18" t="s">
        <v>2</v>
      </c>
      <c r="C61" s="18" t="s">
        <v>195</v>
      </c>
      <c r="D61" s="18" t="s">
        <v>124</v>
      </c>
      <c r="E61" s="18" t="s">
        <v>119</v>
      </c>
      <c r="F61" s="18" t="s">
        <v>196</v>
      </c>
      <c r="G61" s="18" t="s">
        <v>197</v>
      </c>
    </row>
    <row r="62" spans="1:7" x14ac:dyDescent="0.35">
      <c r="A62" s="56" t="s">
        <v>6</v>
      </c>
      <c r="B62" s="56" t="s">
        <v>3</v>
      </c>
      <c r="C62" s="18" t="s">
        <v>93</v>
      </c>
      <c r="D62" s="18">
        <v>200</v>
      </c>
      <c r="E62" s="25">
        <v>78000</v>
      </c>
      <c r="F62" s="25">
        <f>E62*D62</f>
        <v>15600000</v>
      </c>
      <c r="G62" s="53">
        <f>F62+F63</f>
        <v>22400000</v>
      </c>
    </row>
    <row r="63" spans="1:7" ht="15.5" x14ac:dyDescent="0.35">
      <c r="A63" s="57"/>
      <c r="B63" s="57"/>
      <c r="C63" s="18" t="s">
        <v>94</v>
      </c>
      <c r="D63" s="18">
        <v>100</v>
      </c>
      <c r="E63" s="25">
        <v>68000</v>
      </c>
      <c r="F63" s="25">
        <f>E63*D63</f>
        <v>6800000</v>
      </c>
      <c r="G63" s="54"/>
    </row>
    <row r="64" spans="1:7" ht="15.5" x14ac:dyDescent="0.35">
      <c r="A64" s="56" t="s">
        <v>7</v>
      </c>
      <c r="B64" s="56" t="s">
        <v>91</v>
      </c>
      <c r="C64" s="18" t="s">
        <v>93</v>
      </c>
      <c r="D64" s="18">
        <v>350</v>
      </c>
      <c r="E64" s="25">
        <v>78000</v>
      </c>
      <c r="F64" s="25">
        <f>E64*D64</f>
        <v>27300000</v>
      </c>
      <c r="G64" s="53">
        <f>F64+F65</f>
        <v>34100000</v>
      </c>
    </row>
    <row r="65" spans="1:7" ht="15.5" x14ac:dyDescent="0.35">
      <c r="A65" s="57"/>
      <c r="B65" s="57"/>
      <c r="C65" s="18" t="s">
        <v>94</v>
      </c>
      <c r="D65" s="18">
        <v>100</v>
      </c>
      <c r="E65" s="25">
        <v>68000</v>
      </c>
      <c r="F65" s="25">
        <f>E65*D65</f>
        <v>6800000</v>
      </c>
      <c r="G65" s="54"/>
    </row>
    <row r="66" spans="1:7" ht="15.5" x14ac:dyDescent="0.35">
      <c r="A66" s="56" t="s">
        <v>8</v>
      </c>
      <c r="B66" s="56" t="s">
        <v>5</v>
      </c>
      <c r="C66" s="18" t="s">
        <v>93</v>
      </c>
      <c r="D66" s="18">
        <v>400</v>
      </c>
      <c r="E66" s="25">
        <v>78000</v>
      </c>
      <c r="F66" s="25">
        <f>E66*D66</f>
        <v>31200000</v>
      </c>
      <c r="G66" s="53">
        <f>F66+F67</f>
        <v>38200000</v>
      </c>
    </row>
    <row r="67" spans="1:7" ht="15.5" x14ac:dyDescent="0.35">
      <c r="A67" s="57"/>
      <c r="B67" s="57"/>
      <c r="C67" s="18" t="s">
        <v>94</v>
      </c>
      <c r="D67" s="18">
        <v>100</v>
      </c>
      <c r="E67" s="25">
        <v>70000</v>
      </c>
      <c r="F67" s="25">
        <f>E67*D67</f>
        <v>7000000</v>
      </c>
      <c r="G67" s="54"/>
    </row>
  </sheetData>
  <mergeCells count="39">
    <mergeCell ref="L9:N9"/>
    <mergeCell ref="J21:K21"/>
    <mergeCell ref="B24:F24"/>
    <mergeCell ref="B31:E31"/>
    <mergeCell ref="B33:F33"/>
    <mergeCell ref="C10:D10"/>
    <mergeCell ref="E10:F10"/>
    <mergeCell ref="G10:H10"/>
    <mergeCell ref="C9:H9"/>
    <mergeCell ref="B9:B11"/>
    <mergeCell ref="B51:B52"/>
    <mergeCell ref="J9:J10"/>
    <mergeCell ref="K9:K10"/>
    <mergeCell ref="B40:E40"/>
    <mergeCell ref="B42:F42"/>
    <mergeCell ref="B49:E49"/>
    <mergeCell ref="C51:E51"/>
    <mergeCell ref="I24:L24"/>
    <mergeCell ref="G1:G2"/>
    <mergeCell ref="H1:H2"/>
    <mergeCell ref="A22:B22"/>
    <mergeCell ref="A1:A2"/>
    <mergeCell ref="B1:B2"/>
    <mergeCell ref="C1:C2"/>
    <mergeCell ref="D1:D2"/>
    <mergeCell ref="E1:E2"/>
    <mergeCell ref="F1:F2"/>
    <mergeCell ref="A9:A11"/>
    <mergeCell ref="G64:G65"/>
    <mergeCell ref="G66:G67"/>
    <mergeCell ref="A64:A65"/>
    <mergeCell ref="A66:A67"/>
    <mergeCell ref="B62:B63"/>
    <mergeCell ref="B64:B65"/>
    <mergeCell ref="B66:B67"/>
    <mergeCell ref="A58:B58"/>
    <mergeCell ref="A51:A53"/>
    <mergeCell ref="A62:A63"/>
    <mergeCell ref="G62:G6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lampiran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2023-06-21T14:05:01Z</dcterms:created>
  <dcterms:modified xsi:type="dcterms:W3CDTF">2023-08-17T16:55:17Z</dcterms:modified>
</cp:coreProperties>
</file>